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A5273A89-FDBA-A9CC-58D2-03FBE188E8E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uxichen/Desktop/LXC Project/Dynamic hedging/"/>
    </mc:Choice>
  </mc:AlternateContent>
  <xr:revisionPtr revIDLastSave="0" documentId="13_ncr:1_{68BED044-36E2-0C4F-A58A-350BA6495915}" xr6:coauthVersionLast="45" xr6:coauthVersionMax="45" xr10:uidLastSave="{00000000-0000-0000-0000-000000000000}"/>
  <bookViews>
    <workbookView xWindow="5280" yWindow="460" windowWidth="20060" windowHeight="14240" xr2:uid="{67DD9B78-35FF-6649-8BA0-BA5849CE1935}"/>
  </bookViews>
  <sheets>
    <sheet name="Delta Gamma Vega heage" sheetId="4" r:id="rId1"/>
    <sheet name="Gamma with in the money put" sheetId="8" r:id="rId2"/>
    <sheet name="Gamma with the at the money put" sheetId="9" r:id="rId3"/>
    <sheet name="Comparsion" sheetId="10" r:id="rId4"/>
    <sheet name="Simulate" sheetId="11" r:id="rId5"/>
    <sheet name="down and out call" sheetId="13" r:id="rId6"/>
  </sheets>
  <functionGroups builtInGroupCount="19"/>
  <externalReferences>
    <externalReference r:id="rId7"/>
    <externalReference r:id="rId8"/>
    <externalReference r:id="rId9"/>
    <externalReference r:id="rId10"/>
    <externalReference r:id="rId11"/>
  </externalReferences>
  <definedNames>
    <definedName name="_bdm.00B90801FAA04A0B9B70DE4A341E36AE.edm" localSheetId="1" hidden="1">#REF!</definedName>
    <definedName name="_bdm.00B90801FAA04A0B9B70DE4A341E36AE.edm" localSheetId="2" hidden="1">#REF!</definedName>
    <definedName name="_bdm.00B90801FAA04A0B9B70DE4A341E36AE.edm" hidden="1">#REF!</definedName>
    <definedName name="_bdm.4C75BFA474A2457CB79CE6D39FCACE50.edm" localSheetId="1" hidden="1">#REF!</definedName>
    <definedName name="_bdm.4C75BFA474A2457CB79CE6D39FCACE50.edm" localSheetId="2" hidden="1">#REF!</definedName>
    <definedName name="_bdm.4C75BFA474A2457CB79CE6D39FCACE50.edm" hidden="1">#REF!</definedName>
    <definedName name="_d1">'[1]Black-Scholes'!$C$12</definedName>
    <definedName name="_d1_" localSheetId="2">#REF!</definedName>
    <definedName name="_d1_">#REF!</definedName>
    <definedName name="_d2" localSheetId="2">#REF!</definedName>
    <definedName name="_d2">#REF!</definedName>
    <definedName name="_d2_" localSheetId="2">#REF!</definedName>
    <definedName name="_d2_">#REF!</definedName>
    <definedName name="_div" localSheetId="2">#REF!</definedName>
    <definedName name="_div">#REF!</definedName>
    <definedName name="_K" localSheetId="2">#REF!</definedName>
    <definedName name="_K">#REF!</definedName>
    <definedName name="_Nd1">'[2]4b.2 Black-Scholes-Merton (BSM)'!$C$13</definedName>
    <definedName name="_Nd1_" localSheetId="2">#REF!</definedName>
    <definedName name="_Nd1_">#REF!</definedName>
    <definedName name="_Nd2">'[2]4b.2 Black-Scholes-Merton (BSM)'!$C$15</definedName>
    <definedName name="_Nd2_" localSheetId="2">#REF!</definedName>
    <definedName name="_Nd2_">#REF!</definedName>
    <definedName name="_S" localSheetId="2">#REF!</definedName>
    <definedName name="_S">#REF!</definedName>
    <definedName name="d" localSheetId="2">#REF!</definedName>
    <definedName name="d">#REF!</definedName>
    <definedName name="div" localSheetId="2">#REF!</definedName>
    <definedName name="div">#REF!</definedName>
    <definedName name="ImpVol" localSheetId="2">#REF!</definedName>
    <definedName name="ImpVol">#REF!</definedName>
    <definedName name="K">'[2]4b.4 Dynamic Delta (Hull T17.2)'!$D$2</definedName>
    <definedName name="maturity">'[2]4b.4 Dynamic Delta (Hull T17.2)'!$D$4</definedName>
    <definedName name="mean">'[3]NewlongtermOptions (2)'!#REF!</definedName>
    <definedName name="mean2">'[3]NewlongtermOptions (2)'!#REF!</definedName>
    <definedName name="n">[4]Binomial!$D$3</definedName>
    <definedName name="p" localSheetId="2">#REF!</definedName>
    <definedName name="p">#REF!</definedName>
    <definedName name="p_">[4]Binomial!$D$4</definedName>
    <definedName name="Price0" localSheetId="2">#REF!</definedName>
    <definedName name="Price0">#REF!</definedName>
    <definedName name="pthree">[4]Binomial!$D$6</definedName>
    <definedName name="ptwo">[4]Binomial!$D$5</definedName>
    <definedName name="q_options">'[2]4b.4 Dynamic Delta (Hull T17.2)'!$D$7</definedName>
    <definedName name="rate" localSheetId="2">#REF!</definedName>
    <definedName name="rate">#REF!</definedName>
    <definedName name="rate1" localSheetId="2">#REF!</definedName>
    <definedName name="rate1">#REF!</definedName>
    <definedName name="return" localSheetId="2">#REF!</definedName>
    <definedName name="return">#REF!</definedName>
    <definedName name="rf" localSheetId="2">#REF!</definedName>
    <definedName name="rf">#REF!</definedName>
    <definedName name="rf_">'[2]4b.4 Dynamic Delta (Hull T17.2)'!$D$3</definedName>
    <definedName name="S" localSheetId="2">#REF!</definedName>
    <definedName name="S">#REF!</definedName>
    <definedName name="S0lessDiv">'[5]BSM (Hull 15.9)'!$C$5</definedName>
    <definedName name="sigma">'[2]4b.4 Dynamic Delta (Hull T17.2)'!$D$5</definedName>
    <definedName name="solver_adj" localSheetId="0" hidden="1">'Delta Gamma Vega heage'!$R$98:$S$98</definedName>
    <definedName name="solver_adj" localSheetId="1" hidden="1">'Gamma with in the money put'!#REF!</definedName>
    <definedName name="solver_adj" localSheetId="2" hidden="1">'Gamma with the at the money put'!#REF!</definedName>
    <definedName name="solver_cvg" localSheetId="0" hidden="1">0.0001</definedName>
    <definedName name="solver_cvg" localSheetId="1" hidden="1">0.0001</definedName>
    <definedName name="solver_cvg" localSheetId="2" hidden="1">0.0001</definedName>
    <definedName name="solver_drv" localSheetId="0" hidden="1">1</definedName>
    <definedName name="solver_drv" localSheetId="1" hidden="1">1</definedName>
    <definedName name="solver_drv" localSheetId="2" hidden="1">1</definedName>
    <definedName name="solver_eng" localSheetId="0" hidden="1">1</definedName>
    <definedName name="solver_eng" localSheetId="1" hidden="1">1</definedName>
    <definedName name="solver_eng" localSheetId="2" hidden="1">1</definedName>
    <definedName name="solver_itr" localSheetId="0" hidden="1">2147483647</definedName>
    <definedName name="solver_itr" localSheetId="1" hidden="1">2147483647</definedName>
    <definedName name="solver_itr" localSheetId="2" hidden="1">2147483647</definedName>
    <definedName name="solver_lhs1" localSheetId="0" hidden="1">'Delta Gamma Vega heage'!$AD$98</definedName>
    <definedName name="solver_lin" localSheetId="0" hidden="1">2</definedName>
    <definedName name="solver_lin" localSheetId="1" hidden="1">2</definedName>
    <definedName name="solver_lin" localSheetId="2" hidden="1">2</definedName>
    <definedName name="solver_mip" localSheetId="0" hidden="1">2147483647</definedName>
    <definedName name="solver_mip" localSheetId="1" hidden="1">2147483647</definedName>
    <definedName name="solver_mip" localSheetId="2" hidden="1">2147483647</definedName>
    <definedName name="solver_mni" localSheetId="0" hidden="1">30</definedName>
    <definedName name="solver_mni" localSheetId="1" hidden="1">30</definedName>
    <definedName name="solver_mni" localSheetId="2" hidden="1">30</definedName>
    <definedName name="solver_mrt" localSheetId="0" hidden="1">0.075</definedName>
    <definedName name="solver_mrt" localSheetId="1" hidden="1">0.075</definedName>
    <definedName name="solver_mrt" localSheetId="2" hidden="1">0.075</definedName>
    <definedName name="solver_msl" localSheetId="0" hidden="1">2</definedName>
    <definedName name="solver_msl" localSheetId="1" hidden="1">2</definedName>
    <definedName name="solver_msl" localSheetId="2" hidden="1">2</definedName>
    <definedName name="solver_neg" localSheetId="0" hidden="1">2</definedName>
    <definedName name="solver_neg" localSheetId="1" hidden="1">2</definedName>
    <definedName name="solver_neg" localSheetId="2" hidden="1">2</definedName>
    <definedName name="solver_nod" localSheetId="0" hidden="1">2147483647</definedName>
    <definedName name="solver_nod" localSheetId="1" hidden="1">2147483647</definedName>
    <definedName name="solver_nod" localSheetId="2" hidden="1">2147483647</definedName>
    <definedName name="solver_num" localSheetId="0" hidden="1">1</definedName>
    <definedName name="solver_num" localSheetId="1" hidden="1">0</definedName>
    <definedName name="solver_num" localSheetId="2" hidden="1">0</definedName>
    <definedName name="solver_opt" localSheetId="0" hidden="1">'Delta Gamma Vega heage'!$AE$98</definedName>
    <definedName name="solver_opt" localSheetId="1" hidden="1">'Gamma with in the money put'!#REF!</definedName>
    <definedName name="solver_opt" localSheetId="2" hidden="1">'Gamma with the at the money put'!#REF!</definedName>
    <definedName name="solver_pre" localSheetId="0" hidden="1">0.000001</definedName>
    <definedName name="solver_pre" localSheetId="1" hidden="1">0.000001</definedName>
    <definedName name="solver_pre" localSheetId="2" hidden="1">0.000001</definedName>
    <definedName name="solver_rbv" localSheetId="0" hidden="1">1</definedName>
    <definedName name="solver_rbv" localSheetId="1" hidden="1">1</definedName>
    <definedName name="solver_rbv" localSheetId="2" hidden="1">1</definedName>
    <definedName name="solver_rel1" localSheetId="0" hidden="1">2</definedName>
    <definedName name="solver_rhs1" localSheetId="0" hidden="1">0</definedName>
    <definedName name="solver_rlx" localSheetId="0" hidden="1">2</definedName>
    <definedName name="solver_rlx" localSheetId="1" hidden="1">2</definedName>
    <definedName name="solver_rlx" localSheetId="2" hidden="1">2</definedName>
    <definedName name="solver_rsd" localSheetId="0" hidden="1">0</definedName>
    <definedName name="solver_rsd" localSheetId="1" hidden="1">0</definedName>
    <definedName name="solver_rsd" localSheetId="2" hidden="1">0</definedName>
    <definedName name="solver_scl" localSheetId="0" hidden="1">1</definedName>
    <definedName name="solver_scl" localSheetId="1" hidden="1">1</definedName>
    <definedName name="solver_scl" localSheetId="2" hidden="1">1</definedName>
    <definedName name="solver_sho" localSheetId="0" hidden="1">2</definedName>
    <definedName name="solver_sho" localSheetId="1" hidden="1">2</definedName>
    <definedName name="solver_sho" localSheetId="2" hidden="1">2</definedName>
    <definedName name="solver_ssz" localSheetId="0" hidden="1">100</definedName>
    <definedName name="solver_ssz" localSheetId="1" hidden="1">100</definedName>
    <definedName name="solver_ssz" localSheetId="2" hidden="1">100</definedName>
    <definedName name="solver_tim" localSheetId="0" hidden="1">2147483647</definedName>
    <definedName name="solver_tim" localSheetId="1" hidden="1">2147483647</definedName>
    <definedName name="solver_tim" localSheetId="2" hidden="1">2147483647</definedName>
    <definedName name="solver_tol" localSheetId="0" hidden="1">0.01</definedName>
    <definedName name="solver_tol" localSheetId="1" hidden="1">0.01</definedName>
    <definedName name="solver_tol" localSheetId="2" hidden="1">0.01</definedName>
    <definedName name="solver_typ" localSheetId="0" hidden="1">3</definedName>
    <definedName name="solver_typ" localSheetId="1" hidden="1">3</definedName>
    <definedName name="solver_typ" localSheetId="2" hidden="1">3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er" localSheetId="0" hidden="1">2</definedName>
    <definedName name="solver_ver" localSheetId="1" hidden="1">2</definedName>
    <definedName name="solver_ver" localSheetId="2" hidden="1">2</definedName>
    <definedName name="SumSqrDev">[5]Volatility!$H$28</definedName>
    <definedName name="T" localSheetId="1">#REF!</definedName>
    <definedName name="T" localSheetId="2">#REF!</definedName>
    <definedName name="T">#REF!</definedName>
    <definedName name="Term" localSheetId="1">#REF!</definedName>
    <definedName name="Term" localSheetId="2">#REF!</definedName>
    <definedName name="Term">#REF!</definedName>
    <definedName name="Term1" localSheetId="1">#REF!</definedName>
    <definedName name="Term1" localSheetId="2">#REF!</definedName>
    <definedName name="Term1">#REF!</definedName>
    <definedName name="u" localSheetId="2">#REF!</definedName>
    <definedName name="u">#REF!</definedName>
    <definedName name="vol">'[1]Black-Scholes'!$C$5</definedName>
    <definedName name="vol_" localSheetId="2">#REF!</definedName>
    <definedName name="vol_">#REF!</definedName>
    <definedName name="weeks">'[2]4b.4 Dynamic Delta (Hull T17.2)'!$D$6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8" i="13" l="1"/>
  <c r="N7" i="13"/>
  <c r="M6" i="13"/>
  <c r="I2" i="13" l="1"/>
  <c r="J2" i="13"/>
  <c r="G6" i="13"/>
  <c r="F6" i="13" s="1"/>
  <c r="S6" i="13"/>
  <c r="T6" i="13" s="1"/>
  <c r="U6" i="13" s="1"/>
  <c r="F7" i="13"/>
  <c r="H7" i="13"/>
  <c r="T7" i="13"/>
  <c r="F8" i="13"/>
  <c r="H8" i="13"/>
  <c r="T8" i="13"/>
  <c r="F9" i="13"/>
  <c r="H9" i="13"/>
  <c r="T9" i="13"/>
  <c r="F10" i="13"/>
  <c r="H10" i="13"/>
  <c r="T10" i="13"/>
  <c r="F11" i="13"/>
  <c r="H11" i="13"/>
  <c r="T11" i="13"/>
  <c r="F12" i="13"/>
  <c r="H12" i="13"/>
  <c r="T12" i="13"/>
  <c r="F13" i="13"/>
  <c r="H13" i="13"/>
  <c r="T13" i="13"/>
  <c r="F14" i="13"/>
  <c r="H14" i="13"/>
  <c r="T14" i="13"/>
  <c r="F15" i="13"/>
  <c r="H15" i="13"/>
  <c r="T15" i="13"/>
  <c r="F16" i="13"/>
  <c r="H16" i="13"/>
  <c r="T16" i="13"/>
  <c r="F17" i="13"/>
  <c r="H17" i="13"/>
  <c r="T17" i="13"/>
  <c r="F18" i="13"/>
  <c r="H18" i="13"/>
  <c r="T18" i="13"/>
  <c r="F19" i="13"/>
  <c r="H19" i="13"/>
  <c r="T19" i="13"/>
  <c r="F20" i="13"/>
  <c r="H20" i="13"/>
  <c r="T20" i="13"/>
  <c r="F21" i="13"/>
  <c r="H21" i="13"/>
  <c r="T21" i="13"/>
  <c r="F22" i="13"/>
  <c r="H22" i="13"/>
  <c r="T22" i="13"/>
  <c r="F23" i="13"/>
  <c r="H23" i="13"/>
  <c r="T23" i="13"/>
  <c r="F24" i="13"/>
  <c r="H24" i="13"/>
  <c r="T24" i="13"/>
  <c r="F25" i="13"/>
  <c r="H25" i="13"/>
  <c r="T25" i="13"/>
  <c r="G26" i="13"/>
  <c r="F26" i="13" s="1"/>
  <c r="H26" i="13"/>
  <c r="T26" i="13"/>
  <c r="K9" i="13"/>
  <c r="K13" i="13"/>
  <c r="K17" i="13"/>
  <c r="K21" i="13"/>
  <c r="K25" i="13"/>
  <c r="L22" i="13"/>
  <c r="J8" i="13"/>
  <c r="J26" i="13"/>
  <c r="L19" i="13"/>
  <c r="J7" i="13"/>
  <c r="L11" i="13"/>
  <c r="J21" i="13"/>
  <c r="L18" i="13"/>
  <c r="L23" i="13"/>
  <c r="J6" i="13"/>
  <c r="K10" i="13"/>
  <c r="K18" i="13"/>
  <c r="K22" i="13"/>
  <c r="K26" i="13"/>
  <c r="L10" i="13"/>
  <c r="L16" i="13"/>
  <c r="L15" i="13"/>
  <c r="J16" i="13"/>
  <c r="J9" i="13"/>
  <c r="L7" i="13"/>
  <c r="L8" i="13"/>
  <c r="J25" i="13"/>
  <c r="L6" i="13"/>
  <c r="J24" i="13"/>
  <c r="L12" i="13"/>
  <c r="L17" i="13"/>
  <c r="L20" i="13"/>
  <c r="K8" i="13"/>
  <c r="K16" i="13"/>
  <c r="J14" i="13"/>
  <c r="J19" i="13"/>
  <c r="L14" i="13"/>
  <c r="J15" i="13"/>
  <c r="J22" i="13"/>
  <c r="K14" i="13"/>
  <c r="L9" i="13"/>
  <c r="J10" i="13"/>
  <c r="K23" i="13"/>
  <c r="J23" i="13"/>
  <c r="J13" i="13"/>
  <c r="J20" i="13"/>
  <c r="K12" i="13"/>
  <c r="K24" i="13"/>
  <c r="J11" i="13"/>
  <c r="L24" i="13"/>
  <c r="L13" i="13"/>
  <c r="K11" i="13"/>
  <c r="K15" i="13"/>
  <c r="K19" i="13"/>
  <c r="J18" i="13"/>
  <c r="J17" i="13"/>
  <c r="J12" i="13"/>
  <c r="K20" i="13"/>
  <c r="L26" i="13"/>
  <c r="L25" i="13"/>
  <c r="L21" i="13"/>
  <c r="S7" i="13" l="1"/>
  <c r="S8" i="13" s="1"/>
  <c r="S9" i="13" s="1"/>
  <c r="N11" i="13"/>
  <c r="M11" i="13" s="1"/>
  <c r="O11" i="13" s="1"/>
  <c r="N13" i="13"/>
  <c r="M13" i="13" s="1"/>
  <c r="O13" i="13" s="1"/>
  <c r="N25" i="13"/>
  <c r="M25" i="13" s="1"/>
  <c r="O25" i="13" s="1"/>
  <c r="N23" i="13"/>
  <c r="M23" i="13" s="1"/>
  <c r="O23" i="13" s="1"/>
  <c r="N9" i="13"/>
  <c r="M9" i="13" s="1"/>
  <c r="O9" i="13" s="1"/>
  <c r="N26" i="13"/>
  <c r="M26" i="13" s="1"/>
  <c r="O26" i="13" s="1"/>
  <c r="N19" i="13"/>
  <c r="M19" i="13" s="1"/>
  <c r="O19" i="13" s="1"/>
  <c r="N15" i="13"/>
  <c r="M15" i="13" s="1"/>
  <c r="O15" i="13" s="1"/>
  <c r="M7" i="13"/>
  <c r="O7" i="13" s="1"/>
  <c r="N6" i="13"/>
  <c r="P6" i="13" s="1"/>
  <c r="Q6" i="13" s="1"/>
  <c r="N17" i="13"/>
  <c r="M17" i="13" s="1"/>
  <c r="O17" i="13" s="1"/>
  <c r="N21" i="13"/>
  <c r="M21" i="13" s="1"/>
  <c r="O21" i="13" s="1"/>
  <c r="N8" i="13"/>
  <c r="O8" i="13" s="1"/>
  <c r="N22" i="13"/>
  <c r="M22" i="13" s="1"/>
  <c r="O22" i="13" s="1"/>
  <c r="N20" i="13"/>
  <c r="M20" i="13" s="1"/>
  <c r="O20" i="13" s="1"/>
  <c r="N18" i="13"/>
  <c r="M18" i="13" s="1"/>
  <c r="O18" i="13" s="1"/>
  <c r="N24" i="13"/>
  <c r="M24" i="13" s="1"/>
  <c r="O24" i="13" s="1"/>
  <c r="N16" i="13"/>
  <c r="M16" i="13" s="1"/>
  <c r="O16" i="13" s="1"/>
  <c r="N14" i="13"/>
  <c r="M14" i="13" s="1"/>
  <c r="O14" i="13" s="1"/>
  <c r="N12" i="13"/>
  <c r="M12" i="13" s="1"/>
  <c r="O12" i="13" s="1"/>
  <c r="N10" i="13"/>
  <c r="M10" i="13" s="1"/>
  <c r="O10" i="13" s="1"/>
  <c r="S10" i="13"/>
  <c r="S11" i="13" s="1"/>
  <c r="U9" i="13"/>
  <c r="B7" i="11"/>
  <c r="B4" i="11"/>
  <c r="B12" i="11"/>
  <c r="N5" i="11"/>
  <c r="U8" i="13" l="1"/>
  <c r="P7" i="13"/>
  <c r="P8" i="13" s="1"/>
  <c r="P9" i="13" s="1"/>
  <c r="U10" i="13"/>
  <c r="U7" i="13"/>
  <c r="U11" i="13"/>
  <c r="S12" i="13"/>
  <c r="Q8" i="13" l="1"/>
  <c r="Q7" i="13"/>
  <c r="S13" i="13"/>
  <c r="U12" i="13"/>
  <c r="P10" i="13"/>
  <c r="Q9" i="13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13" i="4"/>
  <c r="Y13" i="4" s="1"/>
  <c r="P11" i="13" l="1"/>
  <c r="Q10" i="13"/>
  <c r="S14" i="13"/>
  <c r="U13" i="13"/>
  <c r="AA13" i="4"/>
  <c r="G8" i="11"/>
  <c r="N8" i="11"/>
  <c r="N13" i="11"/>
  <c r="S15" i="13" l="1"/>
  <c r="U14" i="13"/>
  <c r="Q11" i="13"/>
  <c r="P12" i="13"/>
  <c r="E13" i="4"/>
  <c r="P13" i="13" l="1"/>
  <c r="Q12" i="13"/>
  <c r="U15" i="13"/>
  <c r="S16" i="13"/>
  <c r="G59" i="9"/>
  <c r="N59" i="9" s="1"/>
  <c r="G61" i="9"/>
  <c r="L61" i="9" s="1"/>
  <c r="G63" i="9"/>
  <c r="N63" i="9" s="1"/>
  <c r="G65" i="9"/>
  <c r="L65" i="9" s="1"/>
  <c r="G67" i="9"/>
  <c r="N67" i="9" s="1"/>
  <c r="G69" i="9"/>
  <c r="L69" i="9" s="1"/>
  <c r="G71" i="9"/>
  <c r="N71" i="9" s="1"/>
  <c r="G73" i="9"/>
  <c r="L73" i="9" s="1"/>
  <c r="G75" i="9"/>
  <c r="N75" i="9" s="1"/>
  <c r="G77" i="9"/>
  <c r="L77" i="9" s="1"/>
  <c r="G79" i="9"/>
  <c r="N79" i="9" s="1"/>
  <c r="E80" i="9"/>
  <c r="G80" i="9" s="1"/>
  <c r="I80" i="9" s="1"/>
  <c r="K80" i="9" s="1"/>
  <c r="E58" i="9"/>
  <c r="G58" i="9" s="1"/>
  <c r="L58" i="9" s="1"/>
  <c r="E59" i="9"/>
  <c r="E60" i="9"/>
  <c r="G60" i="9" s="1"/>
  <c r="E61" i="9"/>
  <c r="E62" i="9"/>
  <c r="G62" i="9" s="1"/>
  <c r="L62" i="9" s="1"/>
  <c r="E63" i="9"/>
  <c r="E64" i="9"/>
  <c r="G64" i="9" s="1"/>
  <c r="E65" i="9"/>
  <c r="E66" i="9"/>
  <c r="G66" i="9" s="1"/>
  <c r="L66" i="9" s="1"/>
  <c r="E67" i="9"/>
  <c r="E68" i="9"/>
  <c r="G68" i="9" s="1"/>
  <c r="E69" i="9"/>
  <c r="E70" i="9"/>
  <c r="G70" i="9" s="1"/>
  <c r="L70" i="9" s="1"/>
  <c r="E71" i="9"/>
  <c r="E72" i="9"/>
  <c r="G72" i="9" s="1"/>
  <c r="E73" i="9"/>
  <c r="E74" i="9"/>
  <c r="G74" i="9" s="1"/>
  <c r="L74" i="9" s="1"/>
  <c r="E75" i="9"/>
  <c r="E76" i="9"/>
  <c r="G76" i="9" s="1"/>
  <c r="E77" i="9"/>
  <c r="E78" i="9"/>
  <c r="G78" i="9" s="1"/>
  <c r="L78" i="9" s="1"/>
  <c r="E79" i="9"/>
  <c r="E57" i="9"/>
  <c r="G57" i="9" s="1"/>
  <c r="N57" i="9" s="1"/>
  <c r="G75" i="8"/>
  <c r="N75" i="8" s="1"/>
  <c r="G73" i="8"/>
  <c r="N73" i="8" s="1"/>
  <c r="G71" i="8"/>
  <c r="N71" i="8" s="1"/>
  <c r="G69" i="8"/>
  <c r="N69" i="8" s="1"/>
  <c r="G67" i="8"/>
  <c r="N67" i="8" s="1"/>
  <c r="G65" i="8"/>
  <c r="N65" i="8" s="1"/>
  <c r="G63" i="8"/>
  <c r="N63" i="8" s="1"/>
  <c r="G61" i="8"/>
  <c r="N61" i="8" s="1"/>
  <c r="G59" i="8"/>
  <c r="N59" i="8" s="1"/>
  <c r="G57" i="8"/>
  <c r="N57" i="8" s="1"/>
  <c r="G55" i="8"/>
  <c r="N55" i="8" s="1"/>
  <c r="G53" i="8"/>
  <c r="N53" i="8" s="1"/>
  <c r="F54" i="8"/>
  <c r="E54" i="8"/>
  <c r="G54" i="8" s="1"/>
  <c r="N54" i="8" s="1"/>
  <c r="E55" i="8"/>
  <c r="E56" i="8"/>
  <c r="G56" i="8" s="1"/>
  <c r="N56" i="8" s="1"/>
  <c r="E57" i="8"/>
  <c r="E58" i="8"/>
  <c r="G58" i="8" s="1"/>
  <c r="N58" i="8" s="1"/>
  <c r="E59" i="8"/>
  <c r="E60" i="8"/>
  <c r="G60" i="8" s="1"/>
  <c r="N60" i="8" s="1"/>
  <c r="E61" i="8"/>
  <c r="E62" i="8"/>
  <c r="G62" i="8" s="1"/>
  <c r="N62" i="8" s="1"/>
  <c r="E63" i="8"/>
  <c r="E64" i="8"/>
  <c r="G64" i="8" s="1"/>
  <c r="N64" i="8" s="1"/>
  <c r="E65" i="8"/>
  <c r="E66" i="8"/>
  <c r="G66" i="8" s="1"/>
  <c r="N66" i="8" s="1"/>
  <c r="E67" i="8"/>
  <c r="E68" i="8"/>
  <c r="G68" i="8" s="1"/>
  <c r="N68" i="8" s="1"/>
  <c r="E69" i="8"/>
  <c r="E70" i="8"/>
  <c r="G70" i="8" s="1"/>
  <c r="N70" i="8" s="1"/>
  <c r="E71" i="8"/>
  <c r="E72" i="8"/>
  <c r="G72" i="8" s="1"/>
  <c r="N72" i="8" s="1"/>
  <c r="E73" i="8"/>
  <c r="E74" i="8"/>
  <c r="G74" i="8" s="1"/>
  <c r="N74" i="8" s="1"/>
  <c r="E75" i="8"/>
  <c r="E76" i="8"/>
  <c r="G76" i="8" s="1"/>
  <c r="N76" i="8" s="1"/>
  <c r="E53" i="8"/>
  <c r="E13" i="9"/>
  <c r="G13" i="9" s="1"/>
  <c r="E14" i="9"/>
  <c r="G14" i="9" s="1"/>
  <c r="F14" i="9"/>
  <c r="E15" i="9"/>
  <c r="F15" i="9"/>
  <c r="G15" i="9"/>
  <c r="H15" i="9" s="1"/>
  <c r="J15" i="9" s="1"/>
  <c r="O15" i="9" s="1"/>
  <c r="AG15" i="9" s="1"/>
  <c r="E16" i="9"/>
  <c r="F16" i="9"/>
  <c r="E17" i="9"/>
  <c r="G17" i="9" s="1"/>
  <c r="F17" i="9"/>
  <c r="E18" i="9"/>
  <c r="F18" i="9"/>
  <c r="E19" i="9"/>
  <c r="G19" i="9" s="1"/>
  <c r="F19" i="9"/>
  <c r="E20" i="9"/>
  <c r="F20" i="9"/>
  <c r="E21" i="9"/>
  <c r="G21" i="9" s="1"/>
  <c r="F21" i="9"/>
  <c r="E22" i="9"/>
  <c r="F22" i="9"/>
  <c r="E23" i="9"/>
  <c r="G23" i="9" s="1"/>
  <c r="F23" i="9"/>
  <c r="E24" i="9"/>
  <c r="F24" i="9"/>
  <c r="E25" i="9"/>
  <c r="G25" i="9" s="1"/>
  <c r="F25" i="9"/>
  <c r="E26" i="9"/>
  <c r="F26" i="9"/>
  <c r="E27" i="9"/>
  <c r="G27" i="9" s="1"/>
  <c r="F27" i="9"/>
  <c r="E28" i="9"/>
  <c r="F28" i="9"/>
  <c r="E29" i="9"/>
  <c r="G29" i="9" s="1"/>
  <c r="F29" i="9"/>
  <c r="E30" i="9"/>
  <c r="G30" i="9" s="1"/>
  <c r="H30" i="9" s="1"/>
  <c r="J30" i="9" s="1"/>
  <c r="F30" i="9"/>
  <c r="E31" i="9"/>
  <c r="G31" i="9" s="1"/>
  <c r="F31" i="9"/>
  <c r="E32" i="9"/>
  <c r="F32" i="9"/>
  <c r="E33" i="9"/>
  <c r="G33" i="9" s="1"/>
  <c r="F33" i="9"/>
  <c r="E34" i="9"/>
  <c r="F34" i="9"/>
  <c r="E35" i="9"/>
  <c r="G35" i="9" s="1"/>
  <c r="F35" i="9"/>
  <c r="E36" i="9"/>
  <c r="F36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I75" i="9"/>
  <c r="K75" i="9" s="1"/>
  <c r="F76" i="9"/>
  <c r="F77" i="9"/>
  <c r="F78" i="9"/>
  <c r="I79" i="9"/>
  <c r="K79" i="9" s="1"/>
  <c r="F79" i="9"/>
  <c r="F80" i="9"/>
  <c r="S17" i="13" l="1"/>
  <c r="U16" i="13"/>
  <c r="P14" i="13"/>
  <c r="Q13" i="13"/>
  <c r="L80" i="9"/>
  <c r="I74" i="9"/>
  <c r="K74" i="9" s="1"/>
  <c r="L75" i="9"/>
  <c r="H57" i="9"/>
  <c r="J57" i="9" s="1"/>
  <c r="O57" i="9" s="1"/>
  <c r="L67" i="9"/>
  <c r="I78" i="9"/>
  <c r="K78" i="9" s="1"/>
  <c r="N74" i="9"/>
  <c r="N66" i="9"/>
  <c r="L79" i="9"/>
  <c r="L71" i="9"/>
  <c r="L63" i="9"/>
  <c r="N78" i="9"/>
  <c r="N70" i="9"/>
  <c r="N62" i="9"/>
  <c r="L76" i="9"/>
  <c r="L72" i="9"/>
  <c r="L68" i="9"/>
  <c r="L64" i="9"/>
  <c r="L60" i="9"/>
  <c r="N58" i="9"/>
  <c r="L57" i="9"/>
  <c r="N73" i="9"/>
  <c r="N69" i="9"/>
  <c r="N65" i="9"/>
  <c r="N61" i="9"/>
  <c r="L59" i="9"/>
  <c r="N77" i="9"/>
  <c r="N80" i="9"/>
  <c r="N76" i="9"/>
  <c r="N72" i="9"/>
  <c r="N68" i="9"/>
  <c r="N64" i="9"/>
  <c r="N60" i="9"/>
  <c r="I76" i="9"/>
  <c r="K76" i="9" s="1"/>
  <c r="I77" i="9"/>
  <c r="K77" i="9" s="1"/>
  <c r="I73" i="9"/>
  <c r="K73" i="9" s="1"/>
  <c r="H53" i="8"/>
  <c r="L53" i="8"/>
  <c r="H80" i="9"/>
  <c r="J80" i="9" s="1"/>
  <c r="O80" i="9" s="1"/>
  <c r="H79" i="9"/>
  <c r="J79" i="9" s="1"/>
  <c r="H78" i="9"/>
  <c r="J78" i="9" s="1"/>
  <c r="H77" i="9"/>
  <c r="J77" i="9" s="1"/>
  <c r="O77" i="9" s="1"/>
  <c r="H76" i="9"/>
  <c r="J76" i="9" s="1"/>
  <c r="O76" i="9" s="1"/>
  <c r="H75" i="9"/>
  <c r="J75" i="9" s="1"/>
  <c r="O75" i="9" s="1"/>
  <c r="H74" i="9"/>
  <c r="J74" i="9" s="1"/>
  <c r="H73" i="9"/>
  <c r="J73" i="9" s="1"/>
  <c r="O73" i="9" s="1"/>
  <c r="H72" i="9"/>
  <c r="J72" i="9" s="1"/>
  <c r="O72" i="9" s="1"/>
  <c r="I72" i="9"/>
  <c r="K72" i="9" s="1"/>
  <c r="H71" i="9"/>
  <c r="J71" i="9" s="1"/>
  <c r="O71" i="9" s="1"/>
  <c r="I71" i="9"/>
  <c r="H70" i="9"/>
  <c r="J70" i="9" s="1"/>
  <c r="O70" i="9" s="1"/>
  <c r="I70" i="9"/>
  <c r="H69" i="9"/>
  <c r="J69" i="9" s="1"/>
  <c r="O69" i="9" s="1"/>
  <c r="I69" i="9"/>
  <c r="K69" i="9" s="1"/>
  <c r="H68" i="9"/>
  <c r="J68" i="9" s="1"/>
  <c r="O68" i="9" s="1"/>
  <c r="I68" i="9"/>
  <c r="K68" i="9" s="1"/>
  <c r="H67" i="9"/>
  <c r="J67" i="9" s="1"/>
  <c r="O67" i="9" s="1"/>
  <c r="I67" i="9"/>
  <c r="I66" i="9"/>
  <c r="I65" i="9"/>
  <c r="K65" i="9" s="1"/>
  <c r="I64" i="9"/>
  <c r="K64" i="9" s="1"/>
  <c r="I63" i="9"/>
  <c r="I62" i="9"/>
  <c r="I61" i="9"/>
  <c r="K61" i="9" s="1"/>
  <c r="I60" i="9"/>
  <c r="K60" i="9" s="1"/>
  <c r="I59" i="9"/>
  <c r="K59" i="9" s="1"/>
  <c r="G34" i="9"/>
  <c r="L30" i="9"/>
  <c r="I30" i="9"/>
  <c r="M30" i="9" s="1"/>
  <c r="N30" i="9"/>
  <c r="H29" i="9"/>
  <c r="J29" i="9" s="1"/>
  <c r="O29" i="9" s="1"/>
  <c r="L29" i="9"/>
  <c r="I29" i="9"/>
  <c r="K29" i="9" s="1"/>
  <c r="N29" i="9"/>
  <c r="H25" i="9"/>
  <c r="J25" i="9" s="1"/>
  <c r="O25" i="9" s="1"/>
  <c r="L25" i="9"/>
  <c r="I25" i="9"/>
  <c r="K25" i="9" s="1"/>
  <c r="N25" i="9"/>
  <c r="H66" i="9"/>
  <c r="J66" i="9" s="1"/>
  <c r="O66" i="9" s="1"/>
  <c r="H65" i="9"/>
  <c r="J65" i="9" s="1"/>
  <c r="O65" i="9" s="1"/>
  <c r="H64" i="9"/>
  <c r="J64" i="9" s="1"/>
  <c r="O64" i="9" s="1"/>
  <c r="H63" i="9"/>
  <c r="J63" i="9" s="1"/>
  <c r="O63" i="9" s="1"/>
  <c r="H62" i="9"/>
  <c r="J62" i="9" s="1"/>
  <c r="O62" i="9" s="1"/>
  <c r="H61" i="9"/>
  <c r="J61" i="9" s="1"/>
  <c r="O61" i="9" s="1"/>
  <c r="H60" i="9"/>
  <c r="J60" i="9" s="1"/>
  <c r="O60" i="9" s="1"/>
  <c r="H59" i="9"/>
  <c r="J59" i="9" s="1"/>
  <c r="O59" i="9" s="1"/>
  <c r="N33" i="9"/>
  <c r="H33" i="9"/>
  <c r="J33" i="9" s="1"/>
  <c r="O33" i="9" s="1"/>
  <c r="L33" i="9"/>
  <c r="I33" i="9"/>
  <c r="K33" i="9" s="1"/>
  <c r="G36" i="9"/>
  <c r="G32" i="9"/>
  <c r="H27" i="9"/>
  <c r="J27" i="9" s="1"/>
  <c r="O27" i="9" s="1"/>
  <c r="L27" i="9"/>
  <c r="I27" i="9"/>
  <c r="K27" i="9" s="1"/>
  <c r="N27" i="9"/>
  <c r="H23" i="9"/>
  <c r="J23" i="9" s="1"/>
  <c r="O23" i="9" s="1"/>
  <c r="L23" i="9"/>
  <c r="I23" i="9"/>
  <c r="K23" i="9" s="1"/>
  <c r="N23" i="9"/>
  <c r="H58" i="9"/>
  <c r="J58" i="9" s="1"/>
  <c r="O58" i="9" s="1"/>
  <c r="I58" i="9"/>
  <c r="K58" i="9" s="1"/>
  <c r="I57" i="9"/>
  <c r="K57" i="9" s="1"/>
  <c r="N35" i="9"/>
  <c r="H35" i="9"/>
  <c r="J35" i="9" s="1"/>
  <c r="O35" i="9" s="1"/>
  <c r="L35" i="9"/>
  <c r="I35" i="9"/>
  <c r="K35" i="9" s="1"/>
  <c r="N31" i="9"/>
  <c r="H31" i="9"/>
  <c r="J31" i="9" s="1"/>
  <c r="O31" i="9" s="1"/>
  <c r="L31" i="9"/>
  <c r="I31" i="9"/>
  <c r="K31" i="9" s="1"/>
  <c r="O30" i="9"/>
  <c r="G28" i="9"/>
  <c r="G26" i="9"/>
  <c r="G24" i="9"/>
  <c r="G22" i="9"/>
  <c r="G20" i="9"/>
  <c r="H17" i="9"/>
  <c r="J17" i="9" s="1"/>
  <c r="O17" i="9" s="1"/>
  <c r="L17" i="9"/>
  <c r="I17" i="9"/>
  <c r="K17" i="9" s="1"/>
  <c r="N17" i="9"/>
  <c r="G16" i="9"/>
  <c r="H21" i="9"/>
  <c r="J21" i="9" s="1"/>
  <c r="O21" i="9" s="1"/>
  <c r="L21" i="9"/>
  <c r="I21" i="9"/>
  <c r="K21" i="9" s="1"/>
  <c r="H19" i="9"/>
  <c r="J19" i="9" s="1"/>
  <c r="O19" i="9" s="1"/>
  <c r="L19" i="9"/>
  <c r="I19" i="9"/>
  <c r="K19" i="9" s="1"/>
  <c r="N14" i="9"/>
  <c r="H14" i="9"/>
  <c r="J14" i="9" s="1"/>
  <c r="L14" i="9"/>
  <c r="I14" i="9"/>
  <c r="K14" i="9" s="1"/>
  <c r="N21" i="9"/>
  <c r="N19" i="9"/>
  <c r="G18" i="9"/>
  <c r="N13" i="9"/>
  <c r="H13" i="9"/>
  <c r="J13" i="9" s="1"/>
  <c r="L13" i="9"/>
  <c r="I13" i="9"/>
  <c r="K13" i="9" s="1"/>
  <c r="N15" i="9"/>
  <c r="I15" i="9"/>
  <c r="K15" i="9" s="1"/>
  <c r="L15" i="9"/>
  <c r="E13" i="8"/>
  <c r="G13" i="8" s="1"/>
  <c r="E14" i="8"/>
  <c r="G14" i="8" s="1"/>
  <c r="F14" i="8"/>
  <c r="E15" i="8"/>
  <c r="G15" i="8" s="1"/>
  <c r="H15" i="8" s="1"/>
  <c r="J15" i="8" s="1"/>
  <c r="O15" i="8" s="1"/>
  <c r="AG15" i="8" s="1"/>
  <c r="F15" i="8"/>
  <c r="E16" i="8"/>
  <c r="G16" i="8" s="1"/>
  <c r="F16" i="8"/>
  <c r="E17" i="8"/>
  <c r="G17" i="8" s="1"/>
  <c r="H17" i="8" s="1"/>
  <c r="J17" i="8" s="1"/>
  <c r="O17" i="8" s="1"/>
  <c r="AG17" i="8" s="1"/>
  <c r="F17" i="8"/>
  <c r="E18" i="8"/>
  <c r="F18" i="8"/>
  <c r="E19" i="8"/>
  <c r="F19" i="8"/>
  <c r="G19" i="8"/>
  <c r="E20" i="8"/>
  <c r="F20" i="8"/>
  <c r="E21" i="8"/>
  <c r="G21" i="8" s="1"/>
  <c r="F21" i="8"/>
  <c r="E22" i="8"/>
  <c r="F22" i="8"/>
  <c r="E23" i="8"/>
  <c r="G23" i="8" s="1"/>
  <c r="N23" i="8" s="1"/>
  <c r="AE23" i="8" s="1"/>
  <c r="F23" i="8"/>
  <c r="E24" i="8"/>
  <c r="F24" i="8"/>
  <c r="E25" i="8"/>
  <c r="F25" i="8"/>
  <c r="G25" i="8"/>
  <c r="N25" i="8" s="1"/>
  <c r="AE25" i="8" s="1"/>
  <c r="E26" i="8"/>
  <c r="F26" i="8"/>
  <c r="E27" i="8"/>
  <c r="G27" i="8" s="1"/>
  <c r="F27" i="8"/>
  <c r="E28" i="8"/>
  <c r="F28" i="8"/>
  <c r="E29" i="8"/>
  <c r="G29" i="8" s="1"/>
  <c r="N29" i="8" s="1"/>
  <c r="AE29" i="8" s="1"/>
  <c r="F29" i="8"/>
  <c r="E30" i="8"/>
  <c r="G30" i="8" s="1"/>
  <c r="N30" i="8" s="1"/>
  <c r="AE30" i="8" s="1"/>
  <c r="F30" i="8"/>
  <c r="E31" i="8"/>
  <c r="F31" i="8"/>
  <c r="E32" i="8"/>
  <c r="G32" i="8" s="1"/>
  <c r="N32" i="8" s="1"/>
  <c r="AE32" i="8" s="1"/>
  <c r="F32" i="8"/>
  <c r="E33" i="8"/>
  <c r="F33" i="8"/>
  <c r="E34" i="8"/>
  <c r="F34" i="8"/>
  <c r="G34" i="8"/>
  <c r="N34" i="8" s="1"/>
  <c r="AE34" i="8" s="1"/>
  <c r="E35" i="8"/>
  <c r="F35" i="8"/>
  <c r="E36" i="8"/>
  <c r="G36" i="8" s="1"/>
  <c r="N36" i="8" s="1"/>
  <c r="AE36" i="8" s="1"/>
  <c r="F36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P15" i="13" l="1"/>
  <c r="Q14" i="13"/>
  <c r="S18" i="13"/>
  <c r="U17" i="13"/>
  <c r="M14" i="9"/>
  <c r="M13" i="9"/>
  <c r="M80" i="9"/>
  <c r="K62" i="9"/>
  <c r="M62" i="9"/>
  <c r="K66" i="9"/>
  <c r="M66" i="9"/>
  <c r="M61" i="9"/>
  <c r="M69" i="9"/>
  <c r="M77" i="9"/>
  <c r="M58" i="9"/>
  <c r="M59" i="9"/>
  <c r="M64" i="9"/>
  <c r="K63" i="9"/>
  <c r="M63" i="9"/>
  <c r="K67" i="9"/>
  <c r="M67" i="9"/>
  <c r="K71" i="9"/>
  <c r="M71" i="9"/>
  <c r="M75" i="9"/>
  <c r="M68" i="9"/>
  <c r="O74" i="9"/>
  <c r="M74" i="9"/>
  <c r="O78" i="9"/>
  <c r="M78" i="9"/>
  <c r="M65" i="9"/>
  <c r="M73" i="9"/>
  <c r="M57" i="9"/>
  <c r="M72" i="9"/>
  <c r="K70" i="9"/>
  <c r="M70" i="9"/>
  <c r="O79" i="9"/>
  <c r="M79" i="9"/>
  <c r="M60" i="9"/>
  <c r="M76" i="9"/>
  <c r="O13" i="9"/>
  <c r="M27" i="9"/>
  <c r="O14" i="9"/>
  <c r="M17" i="9"/>
  <c r="AF17" i="9" s="1"/>
  <c r="K30" i="9"/>
  <c r="M25" i="9"/>
  <c r="AF25" i="9" s="1"/>
  <c r="AF14" i="9"/>
  <c r="R13" i="9"/>
  <c r="AD15" i="9"/>
  <c r="R59" i="9"/>
  <c r="AD59" i="9" s="1"/>
  <c r="AE13" i="9"/>
  <c r="R19" i="9"/>
  <c r="AC19" i="9" s="1"/>
  <c r="R15" i="9"/>
  <c r="T15" i="9"/>
  <c r="AG13" i="9"/>
  <c r="M15" i="9"/>
  <c r="AD13" i="9"/>
  <c r="R57" i="9"/>
  <c r="S57" i="9" s="1"/>
  <c r="T58" i="9" s="1"/>
  <c r="AE19" i="9"/>
  <c r="AE14" i="9"/>
  <c r="AG19" i="9"/>
  <c r="AG21" i="9"/>
  <c r="AD17" i="9"/>
  <c r="R61" i="9"/>
  <c r="AG61" i="9" s="1"/>
  <c r="N20" i="9"/>
  <c r="H20" i="9"/>
  <c r="J20" i="9" s="1"/>
  <c r="O20" i="9" s="1"/>
  <c r="I20" i="9"/>
  <c r="K20" i="9" s="1"/>
  <c r="L20" i="9"/>
  <c r="N28" i="9"/>
  <c r="I28" i="9"/>
  <c r="K28" i="9" s="1"/>
  <c r="T29" i="9" s="1"/>
  <c r="L28" i="9"/>
  <c r="H28" i="9"/>
  <c r="J28" i="9" s="1"/>
  <c r="O28" i="9" s="1"/>
  <c r="T31" i="9"/>
  <c r="AC31" i="9"/>
  <c r="R31" i="9"/>
  <c r="M35" i="9"/>
  <c r="AE35" i="9"/>
  <c r="AE23" i="9"/>
  <c r="AG23" i="9"/>
  <c r="R71" i="9"/>
  <c r="AG71" i="9" s="1"/>
  <c r="AD27" i="9"/>
  <c r="H32" i="9"/>
  <c r="J32" i="9" s="1"/>
  <c r="O32" i="9" s="1"/>
  <c r="L32" i="9"/>
  <c r="N32" i="9"/>
  <c r="I32" i="9"/>
  <c r="K32" i="9" s="1"/>
  <c r="M33" i="9"/>
  <c r="AE33" i="9"/>
  <c r="AD25" i="9"/>
  <c r="R69" i="9"/>
  <c r="AD69" i="9" s="1"/>
  <c r="R29" i="9"/>
  <c r="AC29" i="9" s="1"/>
  <c r="AF30" i="9"/>
  <c r="H34" i="9"/>
  <c r="J34" i="9" s="1"/>
  <c r="O34" i="9" s="1"/>
  <c r="L34" i="9"/>
  <c r="N34" i="9"/>
  <c r="I34" i="9"/>
  <c r="K34" i="9" s="1"/>
  <c r="T35" i="9" s="1"/>
  <c r="AF13" i="9"/>
  <c r="AD14" i="9"/>
  <c r="R58" i="9"/>
  <c r="S58" i="9" s="1"/>
  <c r="R21" i="9"/>
  <c r="AC21" i="9"/>
  <c r="T21" i="9"/>
  <c r="T14" i="9"/>
  <c r="R14" i="9"/>
  <c r="AE15" i="9"/>
  <c r="M19" i="9"/>
  <c r="M21" i="9"/>
  <c r="AE17" i="9"/>
  <c r="AG17" i="9"/>
  <c r="N26" i="9"/>
  <c r="I26" i="9"/>
  <c r="K26" i="9" s="1"/>
  <c r="T27" i="9" s="1"/>
  <c r="L26" i="9"/>
  <c r="H26" i="9"/>
  <c r="J26" i="9" s="1"/>
  <c r="O26" i="9" s="1"/>
  <c r="R30" i="9"/>
  <c r="T30" i="9"/>
  <c r="AD31" i="9"/>
  <c r="R75" i="9"/>
  <c r="S75" i="9" s="1"/>
  <c r="R35" i="9"/>
  <c r="AC35" i="9" s="1"/>
  <c r="M23" i="9"/>
  <c r="AE27" i="9"/>
  <c r="AG27" i="9"/>
  <c r="T33" i="9"/>
  <c r="R33" i="9"/>
  <c r="AE25" i="9"/>
  <c r="AE69" i="9"/>
  <c r="AG25" i="9"/>
  <c r="AG69" i="9"/>
  <c r="AD29" i="9"/>
  <c r="R73" i="9"/>
  <c r="AE73" i="9" s="1"/>
  <c r="AD30" i="9"/>
  <c r="R74" i="9"/>
  <c r="AG74" i="9" s="1"/>
  <c r="AG14" i="9"/>
  <c r="N18" i="9"/>
  <c r="H18" i="9"/>
  <c r="J18" i="9" s="1"/>
  <c r="O18" i="9" s="1"/>
  <c r="L18" i="9"/>
  <c r="I18" i="9"/>
  <c r="K18" i="9" s="1"/>
  <c r="N24" i="9"/>
  <c r="I24" i="9"/>
  <c r="K24" i="9" s="1"/>
  <c r="T25" i="9" s="1"/>
  <c r="L24" i="9"/>
  <c r="H24" i="9"/>
  <c r="J24" i="9" s="1"/>
  <c r="O24" i="9" s="1"/>
  <c r="AG30" i="9"/>
  <c r="AG31" i="9"/>
  <c r="AD35" i="9"/>
  <c r="R79" i="9"/>
  <c r="AE79" i="9" s="1"/>
  <c r="R23" i="9"/>
  <c r="AC23" i="9" s="1"/>
  <c r="AF27" i="9"/>
  <c r="AD33" i="9"/>
  <c r="R77" i="9"/>
  <c r="S77" i="9" s="1"/>
  <c r="AE29" i="9"/>
  <c r="AG29" i="9"/>
  <c r="AE21" i="9"/>
  <c r="AD19" i="9"/>
  <c r="R63" i="9"/>
  <c r="AD63" i="9" s="1"/>
  <c r="AD21" i="9"/>
  <c r="R65" i="9"/>
  <c r="AE65" i="9" s="1"/>
  <c r="N16" i="9"/>
  <c r="H16" i="9"/>
  <c r="J16" i="9" s="1"/>
  <c r="O16" i="9" s="1"/>
  <c r="L16" i="9"/>
  <c r="I16" i="9"/>
  <c r="K16" i="9" s="1"/>
  <c r="R17" i="9"/>
  <c r="AC17" i="9" s="1"/>
  <c r="N22" i="9"/>
  <c r="I22" i="9"/>
  <c r="K22" i="9" s="1"/>
  <c r="L22" i="9"/>
  <c r="H22" i="9"/>
  <c r="J22" i="9" s="1"/>
  <c r="O22" i="9" s="1"/>
  <c r="M31" i="9"/>
  <c r="AE31" i="9"/>
  <c r="AG35" i="9"/>
  <c r="R67" i="9"/>
  <c r="AG67" i="9" s="1"/>
  <c r="AD23" i="9"/>
  <c r="R27" i="9"/>
  <c r="AC27" i="9" s="1"/>
  <c r="H36" i="9"/>
  <c r="J36" i="9" s="1"/>
  <c r="O36" i="9" s="1"/>
  <c r="L36" i="9"/>
  <c r="N36" i="9"/>
  <c r="I36" i="9"/>
  <c r="K36" i="9" s="1"/>
  <c r="AG33" i="9"/>
  <c r="R25" i="9"/>
  <c r="S69" i="9"/>
  <c r="M29" i="9"/>
  <c r="AE30" i="9"/>
  <c r="H58" i="8"/>
  <c r="J58" i="8" s="1"/>
  <c r="O58" i="8" s="1"/>
  <c r="L58" i="8"/>
  <c r="I58" i="8"/>
  <c r="M58" i="8" s="1"/>
  <c r="H59" i="8"/>
  <c r="J59" i="8" s="1"/>
  <c r="O59" i="8" s="1"/>
  <c r="L59" i="8"/>
  <c r="I59" i="8"/>
  <c r="M59" i="8" s="1"/>
  <c r="H27" i="8"/>
  <c r="J27" i="8" s="1"/>
  <c r="O27" i="8" s="1"/>
  <c r="L27" i="8"/>
  <c r="I27" i="8"/>
  <c r="K27" i="8" s="1"/>
  <c r="M27" i="8"/>
  <c r="G35" i="8"/>
  <c r="G33" i="8"/>
  <c r="G31" i="8"/>
  <c r="H29" i="8"/>
  <c r="J29" i="8" s="1"/>
  <c r="O29" i="8" s="1"/>
  <c r="L29" i="8"/>
  <c r="I29" i="8"/>
  <c r="K29" i="8" s="1"/>
  <c r="H25" i="8"/>
  <c r="J25" i="8" s="1"/>
  <c r="O25" i="8" s="1"/>
  <c r="L25" i="8"/>
  <c r="I25" i="8"/>
  <c r="K25" i="8" s="1"/>
  <c r="H36" i="8"/>
  <c r="J36" i="8" s="1"/>
  <c r="O36" i="8" s="1"/>
  <c r="L36" i="8"/>
  <c r="I36" i="8"/>
  <c r="K36" i="8" s="1"/>
  <c r="H34" i="8"/>
  <c r="J34" i="8" s="1"/>
  <c r="O34" i="8" s="1"/>
  <c r="L34" i="8"/>
  <c r="I34" i="8"/>
  <c r="K34" i="8" s="1"/>
  <c r="H32" i="8"/>
  <c r="J32" i="8" s="1"/>
  <c r="O32" i="8" s="1"/>
  <c r="L32" i="8"/>
  <c r="I32" i="8"/>
  <c r="K32" i="8" s="1"/>
  <c r="H30" i="8"/>
  <c r="J30" i="8" s="1"/>
  <c r="O30" i="8" s="1"/>
  <c r="L30" i="8"/>
  <c r="I30" i="8"/>
  <c r="K30" i="8" s="1"/>
  <c r="N27" i="8"/>
  <c r="H23" i="8"/>
  <c r="J23" i="8" s="1"/>
  <c r="O23" i="8" s="1"/>
  <c r="L23" i="8"/>
  <c r="I23" i="8"/>
  <c r="K23" i="8" s="1"/>
  <c r="G22" i="8"/>
  <c r="G18" i="8"/>
  <c r="H21" i="8"/>
  <c r="J21" i="8" s="1"/>
  <c r="O21" i="8" s="1"/>
  <c r="L21" i="8"/>
  <c r="I21" i="8"/>
  <c r="K21" i="8" s="1"/>
  <c r="N21" i="8"/>
  <c r="N16" i="8"/>
  <c r="H16" i="8"/>
  <c r="J16" i="8" s="1"/>
  <c r="L16" i="8"/>
  <c r="I16" i="8"/>
  <c r="K16" i="8" s="1"/>
  <c r="G28" i="8"/>
  <c r="G26" i="8"/>
  <c r="G24" i="8"/>
  <c r="G20" i="8"/>
  <c r="N14" i="8"/>
  <c r="H14" i="8"/>
  <c r="J14" i="8" s="1"/>
  <c r="O14" i="8" s="1"/>
  <c r="L14" i="8"/>
  <c r="I14" i="8"/>
  <c r="M14" i="8" s="1"/>
  <c r="H19" i="8"/>
  <c r="J19" i="8" s="1"/>
  <c r="O19" i="8" s="1"/>
  <c r="L19" i="8"/>
  <c r="I19" i="8"/>
  <c r="K19" i="8" s="1"/>
  <c r="N19" i="8"/>
  <c r="N13" i="8"/>
  <c r="H13" i="8"/>
  <c r="J13" i="8" s="1"/>
  <c r="L13" i="8"/>
  <c r="I13" i="8"/>
  <c r="M13" i="8" s="1"/>
  <c r="N17" i="8"/>
  <c r="N15" i="8"/>
  <c r="I17" i="8"/>
  <c r="K17" i="8" s="1"/>
  <c r="O16" i="8"/>
  <c r="I15" i="8"/>
  <c r="K15" i="8" s="1"/>
  <c r="O13" i="8"/>
  <c r="L17" i="8"/>
  <c r="L15" i="8"/>
  <c r="V97" i="4"/>
  <c r="W97" i="4"/>
  <c r="V98" i="4"/>
  <c r="W98" i="4"/>
  <c r="E97" i="4"/>
  <c r="G97" i="4" s="1"/>
  <c r="F97" i="4"/>
  <c r="E98" i="4"/>
  <c r="G98" i="4" s="1"/>
  <c r="N98" i="4" s="1"/>
  <c r="F98" i="4"/>
  <c r="M25" i="8" l="1"/>
  <c r="M29" i="8"/>
  <c r="S19" i="13"/>
  <c r="U18" i="13"/>
  <c r="Q15" i="13"/>
  <c r="P16" i="13"/>
  <c r="M16" i="8"/>
  <c r="AF16" i="8" s="1"/>
  <c r="AG75" i="9"/>
  <c r="AE61" i="9"/>
  <c r="AF57" i="9"/>
  <c r="AG77" i="9"/>
  <c r="AG73" i="9"/>
  <c r="AE75" i="9"/>
  <c r="AG58" i="9"/>
  <c r="AE71" i="9"/>
  <c r="S71" i="9"/>
  <c r="AC71" i="9" s="1"/>
  <c r="AF71" i="9"/>
  <c r="AE59" i="9"/>
  <c r="AF69" i="9"/>
  <c r="S61" i="9"/>
  <c r="T62" i="9" s="1"/>
  <c r="AF61" i="9"/>
  <c r="AE74" i="9"/>
  <c r="M18" i="9"/>
  <c r="AD57" i="9"/>
  <c r="S59" i="9"/>
  <c r="AC59" i="9" s="1"/>
  <c r="M26" i="9"/>
  <c r="AF26" i="9" s="1"/>
  <c r="M34" i="9"/>
  <c r="AF34" i="9" s="1"/>
  <c r="K14" i="8"/>
  <c r="T14" i="8" s="1"/>
  <c r="M30" i="8"/>
  <c r="M32" i="8"/>
  <c r="M34" i="8"/>
  <c r="AF34" i="8" s="1"/>
  <c r="M36" i="8"/>
  <c r="AF36" i="8" s="1"/>
  <c r="K13" i="8"/>
  <c r="M21" i="8"/>
  <c r="AD67" i="9"/>
  <c r="AG79" i="9"/>
  <c r="AD79" i="9"/>
  <c r="AD75" i="9"/>
  <c r="AC58" i="9"/>
  <c r="AD65" i="9"/>
  <c r="AD58" i="9"/>
  <c r="T78" i="9"/>
  <c r="T76" i="9"/>
  <c r="T70" i="9"/>
  <c r="AG36" i="9"/>
  <c r="AD22" i="9"/>
  <c r="R66" i="9"/>
  <c r="S66" i="9" s="1"/>
  <c r="T16" i="9"/>
  <c r="R16" i="9"/>
  <c r="AC16" i="9" s="1"/>
  <c r="AG24" i="9"/>
  <c r="AE24" i="9"/>
  <c r="AF18" i="9"/>
  <c r="AE18" i="9"/>
  <c r="U74" i="9"/>
  <c r="V30" i="9"/>
  <c r="S31" i="9"/>
  <c r="AF21" i="9"/>
  <c r="AF65" i="9"/>
  <c r="AD34" i="9"/>
  <c r="R78" i="9"/>
  <c r="S78" i="9" s="1"/>
  <c r="AC78" i="9" s="1"/>
  <c r="S73" i="9"/>
  <c r="X73" i="9" s="1"/>
  <c r="R32" i="9"/>
  <c r="AC32" i="9" s="1"/>
  <c r="T32" i="9"/>
  <c r="AG32" i="9"/>
  <c r="AF35" i="9"/>
  <c r="AF79" i="9"/>
  <c r="AG28" i="9"/>
  <c r="AE28" i="9"/>
  <c r="M20" i="9"/>
  <c r="AE63" i="9"/>
  <c r="AG57" i="9"/>
  <c r="V59" i="9"/>
  <c r="V15" i="9"/>
  <c r="S16" i="9"/>
  <c r="V13" i="9"/>
  <c r="U13" i="9"/>
  <c r="S14" i="9"/>
  <c r="AF29" i="9"/>
  <c r="AF73" i="9"/>
  <c r="AC69" i="9"/>
  <c r="M36" i="9"/>
  <c r="T22" i="9"/>
  <c r="R22" i="9"/>
  <c r="AC22" i="9" s="1"/>
  <c r="T17" i="9"/>
  <c r="AD16" i="9"/>
  <c r="R60" i="9"/>
  <c r="AD60" i="9" s="1"/>
  <c r="X77" i="9"/>
  <c r="S67" i="9"/>
  <c r="AC67" i="9" s="1"/>
  <c r="V23" i="9"/>
  <c r="S24" i="9"/>
  <c r="AD24" i="9"/>
  <c r="R68" i="9"/>
  <c r="AG68" i="9" s="1"/>
  <c r="T18" i="9"/>
  <c r="R18" i="9"/>
  <c r="AD74" i="9"/>
  <c r="AD73" i="9"/>
  <c r="V33" i="9"/>
  <c r="S34" i="9"/>
  <c r="S74" i="9"/>
  <c r="AG26" i="9"/>
  <c r="AE26" i="9"/>
  <c r="AF19" i="9"/>
  <c r="AF63" i="9"/>
  <c r="V14" i="9"/>
  <c r="S15" i="9"/>
  <c r="X58" i="9"/>
  <c r="U58" i="9"/>
  <c r="AG34" i="9"/>
  <c r="AE77" i="9"/>
  <c r="M32" i="9"/>
  <c r="AE67" i="9"/>
  <c r="V31" i="9"/>
  <c r="S32" i="9"/>
  <c r="AD28" i="9"/>
  <c r="R72" i="9"/>
  <c r="U73" i="9" s="1"/>
  <c r="AD20" i="9"/>
  <c r="R64" i="9"/>
  <c r="AD64" i="9" s="1"/>
  <c r="AE20" i="9"/>
  <c r="AE58" i="9"/>
  <c r="T19" i="9"/>
  <c r="AE57" i="9"/>
  <c r="X59" i="9"/>
  <c r="U59" i="9"/>
  <c r="AG59" i="9"/>
  <c r="AC57" i="9"/>
  <c r="V25" i="9"/>
  <c r="S26" i="9"/>
  <c r="AE36" i="9"/>
  <c r="AF31" i="9"/>
  <c r="AF75" i="9"/>
  <c r="M22" i="9"/>
  <c r="V17" i="9"/>
  <c r="S18" i="9"/>
  <c r="AG16" i="9"/>
  <c r="AD77" i="9"/>
  <c r="T24" i="9"/>
  <c r="R24" i="9"/>
  <c r="AC24" i="9" s="1"/>
  <c r="AD18" i="9"/>
  <c r="R62" i="9"/>
  <c r="U63" i="9" s="1"/>
  <c r="AC33" i="9"/>
  <c r="AF23" i="9"/>
  <c r="AF67" i="9"/>
  <c r="S79" i="9"/>
  <c r="AC30" i="9"/>
  <c r="AD26" i="9"/>
  <c r="R70" i="9"/>
  <c r="S70" i="9" s="1"/>
  <c r="AC14" i="9"/>
  <c r="S65" i="9"/>
  <c r="AC65" i="9" s="1"/>
  <c r="V21" i="9"/>
  <c r="S22" i="9"/>
  <c r="R34" i="9"/>
  <c r="AC34" i="9" s="1"/>
  <c r="T34" i="9"/>
  <c r="X69" i="9"/>
  <c r="AE32" i="9"/>
  <c r="AD71" i="9"/>
  <c r="T28" i="9"/>
  <c r="R28" i="9"/>
  <c r="AC28" i="9" s="1"/>
  <c r="T20" i="9"/>
  <c r="R20" i="9"/>
  <c r="AG63" i="9"/>
  <c r="AF15" i="9"/>
  <c r="AF59" i="9"/>
  <c r="AC15" i="9"/>
  <c r="AF58" i="9"/>
  <c r="R36" i="9"/>
  <c r="V36" i="9" s="1"/>
  <c r="T36" i="9"/>
  <c r="AC25" i="9"/>
  <c r="AD36" i="9"/>
  <c r="R80" i="9"/>
  <c r="AD80" i="9" s="1"/>
  <c r="V27" i="9"/>
  <c r="S28" i="9"/>
  <c r="X67" i="9"/>
  <c r="AG22" i="9"/>
  <c r="AE22" i="9"/>
  <c r="M16" i="9"/>
  <c r="AE16" i="9"/>
  <c r="T23" i="9"/>
  <c r="M24" i="9"/>
  <c r="AG18" i="9"/>
  <c r="AC77" i="9"/>
  <c r="V35" i="9"/>
  <c r="S36" i="9"/>
  <c r="X75" i="9"/>
  <c r="U75" i="9"/>
  <c r="T26" i="9"/>
  <c r="R26" i="9"/>
  <c r="V58" i="9"/>
  <c r="T59" i="9"/>
  <c r="AE34" i="9"/>
  <c r="AF74" i="9"/>
  <c r="V29" i="9"/>
  <c r="S30" i="9"/>
  <c r="AF33" i="9"/>
  <c r="AF77" i="9"/>
  <c r="AD32" i="9"/>
  <c r="R76" i="9"/>
  <c r="AE76" i="9" s="1"/>
  <c r="AC75" i="9"/>
  <c r="M28" i="9"/>
  <c r="AG20" i="9"/>
  <c r="AD61" i="9"/>
  <c r="AG65" i="9"/>
  <c r="W57" i="9"/>
  <c r="S63" i="9"/>
  <c r="AC63" i="9" s="1"/>
  <c r="V19" i="9"/>
  <c r="S20" i="9"/>
  <c r="AC13" i="9"/>
  <c r="AG14" i="8"/>
  <c r="AF14" i="8"/>
  <c r="R15" i="8"/>
  <c r="R17" i="8"/>
  <c r="AC17" i="8" s="1"/>
  <c r="T17" i="8"/>
  <c r="AE13" i="8"/>
  <c r="AD16" i="8"/>
  <c r="R23" i="8"/>
  <c r="AC23" i="8" s="1"/>
  <c r="AD30" i="8"/>
  <c r="AD32" i="8"/>
  <c r="AD36" i="8"/>
  <c r="L54" i="8"/>
  <c r="R54" i="8" s="1"/>
  <c r="H54" i="8"/>
  <c r="J54" i="8" s="1"/>
  <c r="O54" i="8" s="1"/>
  <c r="I54" i="8"/>
  <c r="AD25" i="8"/>
  <c r="AD29" i="8"/>
  <c r="I55" i="8"/>
  <c r="M55" i="8" s="1"/>
  <c r="L55" i="8"/>
  <c r="R55" i="8" s="1"/>
  <c r="AE55" i="8" s="1"/>
  <c r="H55" i="8"/>
  <c r="J55" i="8" s="1"/>
  <c r="O55" i="8" s="1"/>
  <c r="N31" i="8"/>
  <c r="H31" i="8"/>
  <c r="J31" i="8" s="1"/>
  <c r="O31" i="8" s="1"/>
  <c r="I31" i="8"/>
  <c r="K31" i="8" s="1"/>
  <c r="L31" i="8"/>
  <c r="H56" i="8"/>
  <c r="J56" i="8" s="1"/>
  <c r="O56" i="8" s="1"/>
  <c r="I56" i="8"/>
  <c r="L56" i="8"/>
  <c r="R56" i="8" s="1"/>
  <c r="AD27" i="8"/>
  <c r="L70" i="8"/>
  <c r="R70" i="8" s="1"/>
  <c r="H70" i="8"/>
  <c r="J70" i="8" s="1"/>
  <c r="O70" i="8" s="1"/>
  <c r="I70" i="8"/>
  <c r="I71" i="8"/>
  <c r="L71" i="8"/>
  <c r="H71" i="8"/>
  <c r="J71" i="8" s="1"/>
  <c r="O71" i="8" s="1"/>
  <c r="H61" i="8"/>
  <c r="J61" i="8" s="1"/>
  <c r="O61" i="8" s="1"/>
  <c r="I61" i="8"/>
  <c r="L61" i="8"/>
  <c r="R61" i="8" s="1"/>
  <c r="AF13" i="8"/>
  <c r="R19" i="8"/>
  <c r="AC19" i="8" s="1"/>
  <c r="AF21" i="8"/>
  <c r="AE27" i="8"/>
  <c r="AD34" i="8"/>
  <c r="AG13" i="8"/>
  <c r="M15" i="8"/>
  <c r="M17" i="8"/>
  <c r="AD19" i="8"/>
  <c r="R59" i="8"/>
  <c r="AD59" i="8" s="1"/>
  <c r="AD14" i="8"/>
  <c r="N28" i="8"/>
  <c r="I28" i="8"/>
  <c r="K28" i="8" s="1"/>
  <c r="T29" i="8" s="1"/>
  <c r="L28" i="8"/>
  <c r="H28" i="8"/>
  <c r="J28" i="8" s="1"/>
  <c r="O28" i="8" s="1"/>
  <c r="R21" i="8"/>
  <c r="AC21" i="8" s="1"/>
  <c r="AD23" i="8"/>
  <c r="AG30" i="8"/>
  <c r="AG32" i="8"/>
  <c r="AG34" i="8"/>
  <c r="AG36" i="8"/>
  <c r="AG25" i="8"/>
  <c r="AG29" i="8"/>
  <c r="K58" i="8"/>
  <c r="J53" i="8"/>
  <c r="O53" i="8" s="1"/>
  <c r="I53" i="8"/>
  <c r="AG27" i="8"/>
  <c r="L66" i="8"/>
  <c r="H66" i="8"/>
  <c r="J66" i="8" s="1"/>
  <c r="O66" i="8" s="1"/>
  <c r="I66" i="8"/>
  <c r="I67" i="8"/>
  <c r="L67" i="8"/>
  <c r="H67" i="8"/>
  <c r="J67" i="8" s="1"/>
  <c r="O67" i="8" s="1"/>
  <c r="H73" i="8"/>
  <c r="J73" i="8" s="1"/>
  <c r="O73" i="8" s="1"/>
  <c r="I73" i="8"/>
  <c r="L73" i="8"/>
  <c r="R13" i="8"/>
  <c r="AC13" i="8" s="1"/>
  <c r="AE15" i="8"/>
  <c r="AG19" i="8"/>
  <c r="AG59" i="8"/>
  <c r="AD21" i="8"/>
  <c r="N22" i="8"/>
  <c r="H22" i="8"/>
  <c r="J22" i="8" s="1"/>
  <c r="O22" i="8" s="1"/>
  <c r="L22" i="8"/>
  <c r="I22" i="8"/>
  <c r="K22" i="8" s="1"/>
  <c r="AF30" i="8"/>
  <c r="AF32" i="8"/>
  <c r="AF25" i="8"/>
  <c r="AF29" i="8"/>
  <c r="N35" i="8"/>
  <c r="H35" i="8"/>
  <c r="J35" i="8" s="1"/>
  <c r="O35" i="8" s="1"/>
  <c r="I35" i="8"/>
  <c r="K35" i="8" s="1"/>
  <c r="T36" i="8" s="1"/>
  <c r="L35" i="8"/>
  <c r="AF27" i="8"/>
  <c r="L62" i="8"/>
  <c r="H62" i="8"/>
  <c r="J62" i="8" s="1"/>
  <c r="O62" i="8" s="1"/>
  <c r="I62" i="8"/>
  <c r="I63" i="8"/>
  <c r="L63" i="8"/>
  <c r="H63" i="8"/>
  <c r="J63" i="8" s="1"/>
  <c r="O63" i="8" s="1"/>
  <c r="H60" i="8"/>
  <c r="J60" i="8" s="1"/>
  <c r="O60" i="8" s="1"/>
  <c r="L60" i="8"/>
  <c r="I60" i="8"/>
  <c r="H65" i="8"/>
  <c r="J65" i="8" s="1"/>
  <c r="O65" i="8" s="1"/>
  <c r="I65" i="8"/>
  <c r="L65" i="8"/>
  <c r="R65" i="8" s="1"/>
  <c r="H72" i="8"/>
  <c r="J72" i="8" s="1"/>
  <c r="O72" i="8" s="1"/>
  <c r="I72" i="8"/>
  <c r="L72" i="8"/>
  <c r="H76" i="8"/>
  <c r="J76" i="8" s="1"/>
  <c r="O76" i="8" s="1"/>
  <c r="I76" i="8"/>
  <c r="L76" i="8"/>
  <c r="AD15" i="8"/>
  <c r="T16" i="8"/>
  <c r="R16" i="8"/>
  <c r="AC16" i="8" s="1"/>
  <c r="AD13" i="8"/>
  <c r="R53" i="8"/>
  <c r="AE53" i="8" s="1"/>
  <c r="AE19" i="8"/>
  <c r="N26" i="8"/>
  <c r="I26" i="8"/>
  <c r="K26" i="8" s="1"/>
  <c r="T27" i="8" s="1"/>
  <c r="L26" i="8"/>
  <c r="H26" i="8"/>
  <c r="J26" i="8" s="1"/>
  <c r="O26" i="8" s="1"/>
  <c r="AE16" i="8"/>
  <c r="N18" i="8"/>
  <c r="H18" i="8"/>
  <c r="J18" i="8" s="1"/>
  <c r="O18" i="8" s="1"/>
  <c r="L18" i="8"/>
  <c r="I18" i="8"/>
  <c r="K18" i="8" s="1"/>
  <c r="T19" i="8" s="1"/>
  <c r="AG23" i="8"/>
  <c r="AD17" i="8"/>
  <c r="AG16" i="8"/>
  <c r="AE17" i="8"/>
  <c r="M19" i="8"/>
  <c r="AE14" i="8"/>
  <c r="N20" i="8"/>
  <c r="H20" i="8"/>
  <c r="J20" i="8" s="1"/>
  <c r="O20" i="8" s="1"/>
  <c r="L20" i="8"/>
  <c r="I20" i="8"/>
  <c r="K20" i="8" s="1"/>
  <c r="T21" i="8" s="1"/>
  <c r="N24" i="8"/>
  <c r="I24" i="8"/>
  <c r="K24" i="8" s="1"/>
  <c r="T25" i="8" s="1"/>
  <c r="L24" i="8"/>
  <c r="H24" i="8"/>
  <c r="J24" i="8" s="1"/>
  <c r="O24" i="8" s="1"/>
  <c r="AE21" i="8"/>
  <c r="AG21" i="8"/>
  <c r="M23" i="8"/>
  <c r="R30" i="8"/>
  <c r="T30" i="8"/>
  <c r="R32" i="8"/>
  <c r="AC32" i="8" s="1"/>
  <c r="T32" i="8"/>
  <c r="R34" i="8"/>
  <c r="AC34" i="8" s="1"/>
  <c r="R36" i="8"/>
  <c r="V36" i="8" s="1"/>
  <c r="R25" i="8"/>
  <c r="R29" i="8"/>
  <c r="AC29" i="8"/>
  <c r="K59" i="8"/>
  <c r="N33" i="8"/>
  <c r="H33" i="8"/>
  <c r="J33" i="8" s="1"/>
  <c r="O33" i="8" s="1"/>
  <c r="I33" i="8"/>
  <c r="K33" i="8" s="1"/>
  <c r="L33" i="8"/>
  <c r="R27" i="8"/>
  <c r="H57" i="8"/>
  <c r="J57" i="8" s="1"/>
  <c r="O57" i="8" s="1"/>
  <c r="I57" i="8"/>
  <c r="L57" i="8"/>
  <c r="R57" i="8" s="1"/>
  <c r="L74" i="8"/>
  <c r="H74" i="8"/>
  <c r="J74" i="8" s="1"/>
  <c r="O74" i="8" s="1"/>
  <c r="I74" i="8"/>
  <c r="M74" i="8" s="1"/>
  <c r="I75" i="8"/>
  <c r="L75" i="8"/>
  <c r="H75" i="8"/>
  <c r="J75" i="8" s="1"/>
  <c r="O75" i="8" s="1"/>
  <c r="H64" i="8"/>
  <c r="J64" i="8" s="1"/>
  <c r="O64" i="8" s="1"/>
  <c r="I64" i="8"/>
  <c r="L64" i="8"/>
  <c r="H69" i="8"/>
  <c r="J69" i="8" s="1"/>
  <c r="O69" i="8" s="1"/>
  <c r="I69" i="8"/>
  <c r="M69" i="8" s="1"/>
  <c r="L69" i="8"/>
  <c r="R69" i="8" s="1"/>
  <c r="H68" i="8"/>
  <c r="J68" i="8" s="1"/>
  <c r="O68" i="8" s="1"/>
  <c r="I68" i="8"/>
  <c r="M68" i="8" s="1"/>
  <c r="L68" i="8"/>
  <c r="I97" i="4"/>
  <c r="K97" i="4" s="1"/>
  <c r="N97" i="4"/>
  <c r="H97" i="4"/>
  <c r="J97" i="4" s="1"/>
  <c r="O97" i="4" s="1"/>
  <c r="L97" i="4"/>
  <c r="I98" i="4"/>
  <c r="K98" i="4" s="1"/>
  <c r="L98" i="4"/>
  <c r="H98" i="4"/>
  <c r="J98" i="4" s="1"/>
  <c r="O98" i="4" s="1"/>
  <c r="E66" i="4"/>
  <c r="F66" i="4"/>
  <c r="E67" i="4"/>
  <c r="F67" i="4"/>
  <c r="G66" i="4" l="1"/>
  <c r="R14" i="8"/>
  <c r="S15" i="8" s="1"/>
  <c r="T15" i="8"/>
  <c r="G67" i="4"/>
  <c r="M62" i="8"/>
  <c r="M66" i="8"/>
  <c r="M70" i="8"/>
  <c r="M54" i="8"/>
  <c r="U79" i="9"/>
  <c r="AC61" i="9"/>
  <c r="P17" i="13"/>
  <c r="Q16" i="13"/>
  <c r="S20" i="13"/>
  <c r="U19" i="13"/>
  <c r="AC36" i="9"/>
  <c r="AE59" i="8"/>
  <c r="M64" i="8"/>
  <c r="M63" i="8"/>
  <c r="M67" i="8"/>
  <c r="M71" i="8"/>
  <c r="M35" i="8"/>
  <c r="AG64" i="9"/>
  <c r="AG66" i="9"/>
  <c r="AC73" i="9"/>
  <c r="T60" i="9"/>
  <c r="S64" i="9"/>
  <c r="AC64" i="9" s="1"/>
  <c r="X61" i="9"/>
  <c r="AE78" i="9"/>
  <c r="V71" i="9"/>
  <c r="U69" i="9"/>
  <c r="AG78" i="9"/>
  <c r="T72" i="9"/>
  <c r="X71" i="9"/>
  <c r="AE64" i="9"/>
  <c r="S68" i="9"/>
  <c r="V69" i="9" s="1"/>
  <c r="AE60" i="9"/>
  <c r="AG60" i="9"/>
  <c r="AF78" i="9"/>
  <c r="S72" i="9"/>
  <c r="AC72" i="9" s="1"/>
  <c r="AF70" i="9"/>
  <c r="M57" i="8"/>
  <c r="M60" i="8"/>
  <c r="M75" i="8"/>
  <c r="M76" i="8"/>
  <c r="M72" i="8"/>
  <c r="M65" i="8"/>
  <c r="M73" i="8"/>
  <c r="M61" i="8"/>
  <c r="AF61" i="8" s="1"/>
  <c r="M56" i="8"/>
  <c r="K53" i="8"/>
  <c r="S53" i="8" s="1"/>
  <c r="T54" i="8" s="1"/>
  <c r="M53" i="8"/>
  <c r="AG54" i="8"/>
  <c r="AE54" i="8"/>
  <c r="K76" i="8"/>
  <c r="K54" i="8"/>
  <c r="S54" i="8" s="1"/>
  <c r="K74" i="8"/>
  <c r="K63" i="8"/>
  <c r="K73" i="8"/>
  <c r="K70" i="8"/>
  <c r="K65" i="8"/>
  <c r="S65" i="8" s="1"/>
  <c r="X65" i="8" s="1"/>
  <c r="K66" i="8"/>
  <c r="K55" i="8"/>
  <c r="S55" i="8" s="1"/>
  <c r="AF55" i="8"/>
  <c r="K68" i="8"/>
  <c r="K69" i="8"/>
  <c r="S69" i="8" s="1"/>
  <c r="K64" i="8"/>
  <c r="K57" i="8"/>
  <c r="S57" i="8" s="1"/>
  <c r="X57" i="8" s="1"/>
  <c r="AF57" i="8"/>
  <c r="K67" i="8"/>
  <c r="K61" i="8"/>
  <c r="S61" i="8" s="1"/>
  <c r="AC61" i="8" s="1"/>
  <c r="K72" i="8"/>
  <c r="K75" i="8"/>
  <c r="K60" i="8"/>
  <c r="K62" i="8"/>
  <c r="K71" i="8"/>
  <c r="K56" i="8"/>
  <c r="S56" i="8" s="1"/>
  <c r="AC56" i="8" s="1"/>
  <c r="AF56" i="8"/>
  <c r="AG61" i="8"/>
  <c r="AE61" i="8"/>
  <c r="AD54" i="8"/>
  <c r="AD53" i="8"/>
  <c r="M24" i="8"/>
  <c r="AF24" i="8" s="1"/>
  <c r="AC70" i="9"/>
  <c r="AD62" i="9"/>
  <c r="X65" i="9"/>
  <c r="AG62" i="9"/>
  <c r="AE66" i="9"/>
  <c r="U67" i="9"/>
  <c r="AD70" i="9"/>
  <c r="AC68" i="9"/>
  <c r="AD68" i="9"/>
  <c r="AD55" i="8"/>
  <c r="AD61" i="8"/>
  <c r="T71" i="9"/>
  <c r="V70" i="9"/>
  <c r="U80" i="9"/>
  <c r="S80" i="9"/>
  <c r="V80" i="9" s="1"/>
  <c r="V34" i="9"/>
  <c r="S35" i="9"/>
  <c r="V24" i="9"/>
  <c r="S25" i="9"/>
  <c r="U65" i="9"/>
  <c r="AD72" i="9"/>
  <c r="AE70" i="9"/>
  <c r="T75" i="9"/>
  <c r="V74" i="9"/>
  <c r="S62" i="9"/>
  <c r="AC62" i="9" s="1"/>
  <c r="U77" i="9"/>
  <c r="W13" i="9"/>
  <c r="U14" i="9"/>
  <c r="AC74" i="9"/>
  <c r="AF62" i="9"/>
  <c r="X66" i="9"/>
  <c r="U66" i="9"/>
  <c r="AF24" i="9"/>
  <c r="AF68" i="9"/>
  <c r="AF16" i="9"/>
  <c r="AF60" i="9"/>
  <c r="V20" i="9"/>
  <c r="S21" i="9"/>
  <c r="T79" i="9"/>
  <c r="V78" i="9"/>
  <c r="T80" i="9"/>
  <c r="V79" i="9"/>
  <c r="AF22" i="9"/>
  <c r="AF66" i="9"/>
  <c r="AE80" i="9"/>
  <c r="X64" i="9"/>
  <c r="U64" i="9"/>
  <c r="U72" i="9"/>
  <c r="AF32" i="9"/>
  <c r="AF76" i="9"/>
  <c r="AC79" i="9"/>
  <c r="U60" i="9"/>
  <c r="T67" i="9"/>
  <c r="V66" i="9"/>
  <c r="AF20" i="9"/>
  <c r="AF64" i="9"/>
  <c r="X78" i="9"/>
  <c r="U78" i="9"/>
  <c r="AE62" i="9"/>
  <c r="S60" i="9"/>
  <c r="X57" i="9"/>
  <c r="Y57" i="9" s="1"/>
  <c r="W58" i="9"/>
  <c r="U76" i="9"/>
  <c r="V26" i="9"/>
  <c r="S27" i="9"/>
  <c r="AC20" i="9"/>
  <c r="T73" i="9"/>
  <c r="X70" i="9"/>
  <c r="U70" i="9"/>
  <c r="AG70" i="9"/>
  <c r="V18" i="9"/>
  <c r="S19" i="9"/>
  <c r="AC66" i="9"/>
  <c r="AF36" i="9"/>
  <c r="AF80" i="9"/>
  <c r="AE72" i="9"/>
  <c r="AG72" i="9"/>
  <c r="AG76" i="9"/>
  <c r="V32" i="9"/>
  <c r="S33" i="9"/>
  <c r="AD78" i="9"/>
  <c r="T64" i="9"/>
  <c r="AF28" i="9"/>
  <c r="AF72" i="9"/>
  <c r="AD76" i="9"/>
  <c r="AC26" i="9"/>
  <c r="X79" i="9"/>
  <c r="S29" i="9"/>
  <c r="V28" i="9"/>
  <c r="T66" i="9"/>
  <c r="U62" i="9"/>
  <c r="X63" i="9"/>
  <c r="AC18" i="9"/>
  <c r="U68" i="9"/>
  <c r="T68" i="9"/>
  <c r="V67" i="9"/>
  <c r="V22" i="9"/>
  <c r="S23" i="9"/>
  <c r="U61" i="9"/>
  <c r="U71" i="9"/>
  <c r="S76" i="9"/>
  <c r="X76" i="9" s="1"/>
  <c r="T74" i="9"/>
  <c r="X74" i="9"/>
  <c r="AE68" i="9"/>
  <c r="V16" i="9"/>
  <c r="S17" i="9"/>
  <c r="AD66" i="9"/>
  <c r="AG80" i="9"/>
  <c r="V75" i="9"/>
  <c r="AE70" i="8"/>
  <c r="U70" i="8"/>
  <c r="AD70" i="8"/>
  <c r="AG70" i="8"/>
  <c r="S70" i="8"/>
  <c r="AC70" i="8" s="1"/>
  <c r="U56" i="8"/>
  <c r="AE56" i="8"/>
  <c r="AD56" i="8"/>
  <c r="AG56" i="8"/>
  <c r="AE69" i="8"/>
  <c r="AG69" i="8"/>
  <c r="AD69" i="8"/>
  <c r="U57" i="8"/>
  <c r="AG57" i="8"/>
  <c r="AD57" i="8"/>
  <c r="AE57" i="8"/>
  <c r="AE65" i="8"/>
  <c r="AG65" i="8"/>
  <c r="AD65" i="8"/>
  <c r="V27" i="8"/>
  <c r="S28" i="8"/>
  <c r="V25" i="8"/>
  <c r="S26" i="8"/>
  <c r="V30" i="8"/>
  <c r="S31" i="8"/>
  <c r="AC27" i="8"/>
  <c r="AD33" i="8"/>
  <c r="R73" i="8"/>
  <c r="AD73" i="8" s="1"/>
  <c r="AC25" i="8"/>
  <c r="V34" i="8"/>
  <c r="S35" i="8"/>
  <c r="AC30" i="8"/>
  <c r="AD24" i="8"/>
  <c r="R64" i="8"/>
  <c r="U65" i="8" s="1"/>
  <c r="M20" i="8"/>
  <c r="AG18" i="8"/>
  <c r="T26" i="8"/>
  <c r="R26" i="8"/>
  <c r="AG35" i="8"/>
  <c r="M22" i="8"/>
  <c r="AE22" i="8"/>
  <c r="M28" i="8"/>
  <c r="AE28" i="8"/>
  <c r="R74" i="8"/>
  <c r="S59" i="8"/>
  <c r="AC59" i="8" s="1"/>
  <c r="AD31" i="8"/>
  <c r="R71" i="8"/>
  <c r="AD71" i="8" s="1"/>
  <c r="R76" i="8"/>
  <c r="R72" i="8"/>
  <c r="V23" i="8"/>
  <c r="S24" i="8"/>
  <c r="T33" i="8"/>
  <c r="R33" i="8"/>
  <c r="AC33" i="8" s="1"/>
  <c r="T24" i="8"/>
  <c r="R24" i="8"/>
  <c r="AD20" i="8"/>
  <c r="R60" i="8"/>
  <c r="AD60" i="8" s="1"/>
  <c r="M18" i="8"/>
  <c r="AE18" i="8"/>
  <c r="M26" i="8"/>
  <c r="AE26" i="8"/>
  <c r="V16" i="8"/>
  <c r="S17" i="8"/>
  <c r="U55" i="8"/>
  <c r="AG55" i="8"/>
  <c r="AF35" i="8"/>
  <c r="AE35" i="8"/>
  <c r="T22" i="8"/>
  <c r="R22" i="8"/>
  <c r="AC22" i="8" s="1"/>
  <c r="R63" i="8"/>
  <c r="AG28" i="8"/>
  <c r="AF17" i="8"/>
  <c r="T31" i="8"/>
  <c r="R31" i="8"/>
  <c r="V15" i="8"/>
  <c r="S16" i="8"/>
  <c r="AG33" i="8"/>
  <c r="AE24" i="8"/>
  <c r="AG20" i="8"/>
  <c r="T18" i="8"/>
  <c r="R18" i="8"/>
  <c r="AG26" i="8"/>
  <c r="AD35" i="8"/>
  <c r="R75" i="8"/>
  <c r="AE75" i="8" s="1"/>
  <c r="AD22" i="8"/>
  <c r="R62" i="8"/>
  <c r="AE62" i="8" s="1"/>
  <c r="T55" i="8"/>
  <c r="V14" i="8"/>
  <c r="V13" i="8"/>
  <c r="U13" i="8"/>
  <c r="S14" i="8"/>
  <c r="AD28" i="8"/>
  <c r="R68" i="8"/>
  <c r="AG68" i="8" s="1"/>
  <c r="AF15" i="8"/>
  <c r="V19" i="8"/>
  <c r="S20" i="8"/>
  <c r="R67" i="8"/>
  <c r="AG31" i="8"/>
  <c r="V17" i="8"/>
  <c r="S18" i="8"/>
  <c r="M33" i="8"/>
  <c r="AE33" i="8"/>
  <c r="V29" i="8"/>
  <c r="S30" i="8"/>
  <c r="AC36" i="8"/>
  <c r="T34" i="8"/>
  <c r="V32" i="8"/>
  <c r="S33" i="8"/>
  <c r="AF23" i="8"/>
  <c r="AG24" i="8"/>
  <c r="T20" i="8"/>
  <c r="R20" i="8"/>
  <c r="AC20" i="8" s="1"/>
  <c r="AE20" i="8"/>
  <c r="AF19" i="8"/>
  <c r="AF59" i="8"/>
  <c r="AD18" i="8"/>
  <c r="R58" i="8"/>
  <c r="AD58" i="8" s="1"/>
  <c r="AD26" i="8"/>
  <c r="R66" i="8"/>
  <c r="T35" i="8"/>
  <c r="R35" i="8"/>
  <c r="S75" i="8"/>
  <c r="AC75" i="8" s="1"/>
  <c r="AG22" i="8"/>
  <c r="V21" i="8"/>
  <c r="S22" i="8"/>
  <c r="T28" i="8"/>
  <c r="R28" i="8"/>
  <c r="X54" i="8"/>
  <c r="U54" i="8"/>
  <c r="AG53" i="8"/>
  <c r="M31" i="8"/>
  <c r="AE31" i="8"/>
  <c r="T23" i="8"/>
  <c r="AC15" i="8"/>
  <c r="M97" i="4"/>
  <c r="M98" i="4"/>
  <c r="H66" i="4"/>
  <c r="J66" i="4" s="1"/>
  <c r="O66" i="4" s="1"/>
  <c r="F35" i="4"/>
  <c r="F36" i="4"/>
  <c r="E35" i="4"/>
  <c r="G35" i="4" s="1"/>
  <c r="H35" i="4" s="1"/>
  <c r="J35" i="4" s="1"/>
  <c r="O35" i="4" s="1"/>
  <c r="E36" i="4"/>
  <c r="G36" i="4" s="1"/>
  <c r="L67" i="4" l="1"/>
  <c r="N67" i="4"/>
  <c r="I67" i="4"/>
  <c r="K67" i="4" s="1"/>
  <c r="AC54" i="8"/>
  <c r="X68" i="9"/>
  <c r="L66" i="4"/>
  <c r="M66" i="4"/>
  <c r="N66" i="4"/>
  <c r="I66" i="4"/>
  <c r="K66" i="4" s="1"/>
  <c r="AC14" i="8"/>
  <c r="AE64" i="8"/>
  <c r="H67" i="4"/>
  <c r="J67" i="4" s="1"/>
  <c r="O67" i="4" s="1"/>
  <c r="Q17" i="13"/>
  <c r="P18" i="13"/>
  <c r="S21" i="13"/>
  <c r="U20" i="13"/>
  <c r="T69" i="9"/>
  <c r="V73" i="9"/>
  <c r="V65" i="9"/>
  <c r="V64" i="9"/>
  <c r="V68" i="9"/>
  <c r="T65" i="9"/>
  <c r="AG97" i="4"/>
  <c r="X62" i="9"/>
  <c r="V63" i="9"/>
  <c r="V72" i="9"/>
  <c r="X72" i="9"/>
  <c r="AC80" i="9"/>
  <c r="AG64" i="8"/>
  <c r="S64" i="8"/>
  <c r="AC64" i="8" s="1"/>
  <c r="S60" i="8"/>
  <c r="AC60" i="8" s="1"/>
  <c r="T62" i="8"/>
  <c r="S73" i="8"/>
  <c r="AC73" i="8" s="1"/>
  <c r="X61" i="8"/>
  <c r="AE73" i="8"/>
  <c r="AG73" i="8"/>
  <c r="AE71" i="8"/>
  <c r="U59" i="8"/>
  <c r="S68" i="8"/>
  <c r="AC68" i="8" s="1"/>
  <c r="AG62" i="8"/>
  <c r="AF64" i="8"/>
  <c r="X59" i="8"/>
  <c r="V54" i="8"/>
  <c r="AG71" i="8"/>
  <c r="W53" i="8"/>
  <c r="X53" i="8" s="1"/>
  <c r="Y53" i="8" s="1"/>
  <c r="U61" i="8"/>
  <c r="AE60" i="8"/>
  <c r="AG60" i="8"/>
  <c r="S71" i="8"/>
  <c r="AC71" i="8" s="1"/>
  <c r="AD68" i="8"/>
  <c r="AC57" i="8"/>
  <c r="AD62" i="8"/>
  <c r="X80" i="9"/>
  <c r="AD64" i="8"/>
  <c r="AD75" i="8"/>
  <c r="T77" i="9"/>
  <c r="V76" i="9"/>
  <c r="V77" i="9"/>
  <c r="T63" i="9"/>
  <c r="V62" i="9"/>
  <c r="T61" i="9"/>
  <c r="V60" i="9"/>
  <c r="V61" i="9"/>
  <c r="W14" i="9"/>
  <c r="U15" i="9"/>
  <c r="AC60" i="9"/>
  <c r="AC76" i="9"/>
  <c r="Y58" i="9"/>
  <c r="W59" i="9"/>
  <c r="X60" i="9"/>
  <c r="V35" i="8"/>
  <c r="S36" i="8"/>
  <c r="U66" i="8"/>
  <c r="AF63" i="8"/>
  <c r="W13" i="8"/>
  <c r="U14" i="8"/>
  <c r="V18" i="8"/>
  <c r="S19" i="8"/>
  <c r="V31" i="8"/>
  <c r="S32" i="8"/>
  <c r="AF26" i="8"/>
  <c r="AF66" i="8"/>
  <c r="AF18" i="8"/>
  <c r="AF58" i="8"/>
  <c r="V33" i="8"/>
  <c r="S34" i="8"/>
  <c r="AF53" i="8"/>
  <c r="AF20" i="8"/>
  <c r="AF60" i="8"/>
  <c r="T70" i="8"/>
  <c r="T71" i="8"/>
  <c r="V70" i="8"/>
  <c r="AF31" i="8"/>
  <c r="AF71" i="8"/>
  <c r="V28" i="8"/>
  <c r="S29" i="8"/>
  <c r="AC35" i="8"/>
  <c r="U58" i="8"/>
  <c r="V20" i="8"/>
  <c r="S21" i="8"/>
  <c r="T56" i="8"/>
  <c r="V55" i="8"/>
  <c r="U67" i="8"/>
  <c r="AE67" i="8"/>
  <c r="AF67" i="8"/>
  <c r="S67" i="8"/>
  <c r="AG67" i="8"/>
  <c r="AD67" i="8"/>
  <c r="U68" i="8"/>
  <c r="AC18" i="8"/>
  <c r="AC31" i="8"/>
  <c r="AE63" i="8"/>
  <c r="U63" i="8"/>
  <c r="AD63" i="8"/>
  <c r="AG63" i="8"/>
  <c r="S63" i="8"/>
  <c r="AF75" i="8"/>
  <c r="V24" i="8"/>
  <c r="S25" i="8"/>
  <c r="AE72" i="8"/>
  <c r="U72" i="8"/>
  <c r="AD72" i="8"/>
  <c r="AG72" i="8"/>
  <c r="AF72" i="8"/>
  <c r="S72" i="8"/>
  <c r="AC72" i="8" s="1"/>
  <c r="T60" i="8"/>
  <c r="AE68" i="8"/>
  <c r="AG75" i="8"/>
  <c r="AF65" i="8"/>
  <c r="U69" i="8"/>
  <c r="T57" i="8"/>
  <c r="V56" i="8"/>
  <c r="AF54" i="8"/>
  <c r="AC28" i="8"/>
  <c r="AF33" i="8"/>
  <c r="AF73" i="8"/>
  <c r="U62" i="8"/>
  <c r="AG66" i="8"/>
  <c r="S58" i="8"/>
  <c r="X58" i="8" s="1"/>
  <c r="AC55" i="8"/>
  <c r="S62" i="8"/>
  <c r="AC62" i="8" s="1"/>
  <c r="V22" i="8"/>
  <c r="S23" i="8"/>
  <c r="X55" i="8"/>
  <c r="AE66" i="8"/>
  <c r="AE58" i="8"/>
  <c r="AC24" i="8"/>
  <c r="AE76" i="8"/>
  <c r="U76" i="8"/>
  <c r="AD76" i="8"/>
  <c r="AG76" i="8"/>
  <c r="AF76" i="8"/>
  <c r="S76" i="8"/>
  <c r="V76" i="8" s="1"/>
  <c r="AE74" i="8"/>
  <c r="U74" i="8"/>
  <c r="S74" i="8"/>
  <c r="X74" i="8" s="1"/>
  <c r="AD74" i="8"/>
  <c r="AG74" i="8"/>
  <c r="AF74" i="8"/>
  <c r="AF28" i="8"/>
  <c r="AF68" i="8"/>
  <c r="V26" i="8"/>
  <c r="S27" i="8"/>
  <c r="AG58" i="8"/>
  <c r="U73" i="8"/>
  <c r="T66" i="8"/>
  <c r="AC69" i="8"/>
  <c r="AF70" i="8"/>
  <c r="T76" i="8"/>
  <c r="AD66" i="8"/>
  <c r="X75" i="8"/>
  <c r="U75" i="8"/>
  <c r="V71" i="8"/>
  <c r="U60" i="8"/>
  <c r="U71" i="8"/>
  <c r="AC53" i="8"/>
  <c r="AF22" i="8"/>
  <c r="AF62" i="8"/>
  <c r="S66" i="8"/>
  <c r="AC26" i="8"/>
  <c r="X64" i="8"/>
  <c r="U64" i="8"/>
  <c r="AC65" i="8"/>
  <c r="T58" i="8"/>
  <c r="V57" i="8"/>
  <c r="AF69" i="8"/>
  <c r="X69" i="8"/>
  <c r="X56" i="8"/>
  <c r="X70" i="8"/>
  <c r="N36" i="4"/>
  <c r="I36" i="4"/>
  <c r="K36" i="4" s="1"/>
  <c r="L36" i="4"/>
  <c r="AD98" i="4" s="1"/>
  <c r="H36" i="4"/>
  <c r="J36" i="4" s="1"/>
  <c r="O36" i="4" s="1"/>
  <c r="AG98" i="4" s="1"/>
  <c r="N35" i="4"/>
  <c r="AG35" i="4"/>
  <c r="I35" i="4"/>
  <c r="K35" i="4" s="1"/>
  <c r="L35" i="4"/>
  <c r="AD97" i="4" s="1"/>
  <c r="V68" i="8" l="1"/>
  <c r="X68" i="8"/>
  <c r="M67" i="4"/>
  <c r="S22" i="13"/>
  <c r="U21" i="13"/>
  <c r="P19" i="13"/>
  <c r="Q18" i="13"/>
  <c r="T72" i="8"/>
  <c r="V65" i="8"/>
  <c r="V64" i="8"/>
  <c r="X71" i="8"/>
  <c r="T65" i="8"/>
  <c r="V60" i="8"/>
  <c r="T61" i="8"/>
  <c r="T69" i="8"/>
  <c r="AC74" i="8"/>
  <c r="X60" i="8"/>
  <c r="V61" i="8"/>
  <c r="V69" i="8"/>
  <c r="X73" i="8"/>
  <c r="T74" i="8"/>
  <c r="W54" i="8"/>
  <c r="W55" i="8" s="1"/>
  <c r="X72" i="8"/>
  <c r="AC63" i="8"/>
  <c r="X63" i="8"/>
  <c r="AC67" i="8"/>
  <c r="AC58" i="8"/>
  <c r="V75" i="8"/>
  <c r="AC76" i="8"/>
  <c r="X76" i="8"/>
  <c r="Y59" i="9"/>
  <c r="W60" i="9"/>
  <c r="W15" i="9"/>
  <c r="U16" i="9"/>
  <c r="T67" i="8"/>
  <c r="V66" i="8"/>
  <c r="T73" i="8"/>
  <c r="V72" i="8"/>
  <c r="T63" i="8"/>
  <c r="V62" i="8"/>
  <c r="X62" i="8"/>
  <c r="V59" i="8"/>
  <c r="T68" i="8"/>
  <c r="V67" i="8"/>
  <c r="X67" i="8"/>
  <c r="V73" i="8"/>
  <c r="W14" i="8"/>
  <c r="U15" i="8"/>
  <c r="X66" i="8"/>
  <c r="T59" i="8"/>
  <c r="V58" i="8"/>
  <c r="AC66" i="8"/>
  <c r="T75" i="8"/>
  <c r="V74" i="8"/>
  <c r="T64" i="8"/>
  <c r="V63" i="8"/>
  <c r="T97" i="4"/>
  <c r="AC97" i="4" s="1"/>
  <c r="T98" i="4"/>
  <c r="M36" i="4"/>
  <c r="AF98" i="4" s="1"/>
  <c r="AG36" i="4"/>
  <c r="R35" i="4"/>
  <c r="AC35" i="4" s="1"/>
  <c r="AE97" i="4"/>
  <c r="AE35" i="4"/>
  <c r="T36" i="4"/>
  <c r="R36" i="4"/>
  <c r="V36" i="4" s="1"/>
  <c r="R66" i="4"/>
  <c r="AD35" i="4"/>
  <c r="R67" i="4"/>
  <c r="AG67" i="4" s="1"/>
  <c r="AD36" i="4"/>
  <c r="M35" i="4"/>
  <c r="AF97" i="4" s="1"/>
  <c r="AE98" i="4"/>
  <c r="AE36" i="4"/>
  <c r="Q19" i="13" l="1"/>
  <c r="P20" i="13"/>
  <c r="S23" i="13"/>
  <c r="U22" i="13"/>
  <c r="AE67" i="4"/>
  <c r="X98" i="4"/>
  <c r="AF36" i="4"/>
  <c r="Y54" i="8"/>
  <c r="U17" i="9"/>
  <c r="W16" i="9"/>
  <c r="Y60" i="9"/>
  <c r="W61" i="9"/>
  <c r="W15" i="8"/>
  <c r="U16" i="8"/>
  <c r="Y55" i="8"/>
  <c r="W56" i="8"/>
  <c r="AC36" i="4"/>
  <c r="AC98" i="4"/>
  <c r="AF66" i="4"/>
  <c r="AF35" i="4"/>
  <c r="S66" i="4"/>
  <c r="X66" i="4" s="1"/>
  <c r="AG66" i="4"/>
  <c r="AE66" i="4"/>
  <c r="AD67" i="4"/>
  <c r="AD66" i="4"/>
  <c r="S67" i="4"/>
  <c r="U67" i="4"/>
  <c r="Z98" i="4"/>
  <c r="S36" i="4"/>
  <c r="V35" i="4"/>
  <c r="Z97" i="4"/>
  <c r="U98" i="4"/>
  <c r="AF67" i="4"/>
  <c r="F77" i="4"/>
  <c r="E76" i="4"/>
  <c r="G76" i="4" s="1"/>
  <c r="E77" i="4"/>
  <c r="G77" i="4" s="1"/>
  <c r="E78" i="4"/>
  <c r="G78" i="4" s="1"/>
  <c r="N78" i="4" s="1"/>
  <c r="E79" i="4"/>
  <c r="E80" i="4"/>
  <c r="G80" i="4" s="1"/>
  <c r="E81" i="4"/>
  <c r="G81" i="4" s="1"/>
  <c r="E82" i="4"/>
  <c r="G82" i="4" s="1"/>
  <c r="N82" i="4" s="1"/>
  <c r="E83" i="4"/>
  <c r="E84" i="4"/>
  <c r="G84" i="4" s="1"/>
  <c r="E85" i="4"/>
  <c r="G85" i="4" s="1"/>
  <c r="E86" i="4"/>
  <c r="G86" i="4" s="1"/>
  <c r="N86" i="4" s="1"/>
  <c r="E87" i="4"/>
  <c r="E88" i="4"/>
  <c r="G88" i="4" s="1"/>
  <c r="E89" i="4"/>
  <c r="G89" i="4" s="1"/>
  <c r="E90" i="4"/>
  <c r="G90" i="4" s="1"/>
  <c r="N90" i="4" s="1"/>
  <c r="E91" i="4"/>
  <c r="G91" i="4" s="1"/>
  <c r="N91" i="4" s="1"/>
  <c r="E92" i="4"/>
  <c r="G92" i="4" s="1"/>
  <c r="E93" i="4"/>
  <c r="G93" i="4" s="1"/>
  <c r="E94" i="4"/>
  <c r="G94" i="4" s="1"/>
  <c r="N94" i="4" s="1"/>
  <c r="E95" i="4"/>
  <c r="G95" i="4" s="1"/>
  <c r="N95" i="4" s="1"/>
  <c r="E96" i="4"/>
  <c r="E75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76" i="4"/>
  <c r="V76" i="4"/>
  <c r="U23" i="13" l="1"/>
  <c r="S24" i="13"/>
  <c r="P21" i="13"/>
  <c r="Q20" i="13"/>
  <c r="V67" i="4"/>
  <c r="W17" i="9"/>
  <c r="U18" i="9"/>
  <c r="Y61" i="9"/>
  <c r="W62" i="9"/>
  <c r="W16" i="8"/>
  <c r="U17" i="8"/>
  <c r="Y56" i="8"/>
  <c r="W57" i="8"/>
  <c r="AC66" i="4"/>
  <c r="X67" i="4"/>
  <c r="AC67" i="4"/>
  <c r="T67" i="4"/>
  <c r="L93" i="4"/>
  <c r="N93" i="4"/>
  <c r="H93" i="4"/>
  <c r="L85" i="4"/>
  <c r="N85" i="4"/>
  <c r="H85" i="4"/>
  <c r="L81" i="4"/>
  <c r="N81" i="4"/>
  <c r="H81" i="4"/>
  <c r="L77" i="4"/>
  <c r="N77" i="4"/>
  <c r="H77" i="4"/>
  <c r="L89" i="4"/>
  <c r="N89" i="4"/>
  <c r="H89" i="4"/>
  <c r="L92" i="4"/>
  <c r="N92" i="4"/>
  <c r="H92" i="4"/>
  <c r="L88" i="4"/>
  <c r="N88" i="4"/>
  <c r="H88" i="4"/>
  <c r="L84" i="4"/>
  <c r="N84" i="4"/>
  <c r="H84" i="4"/>
  <c r="L80" i="4"/>
  <c r="N80" i="4"/>
  <c r="H80" i="4"/>
  <c r="L76" i="4"/>
  <c r="N76" i="4"/>
  <c r="H76" i="4"/>
  <c r="G87" i="4"/>
  <c r="G83" i="4"/>
  <c r="G79" i="4"/>
  <c r="G96" i="4"/>
  <c r="L95" i="4"/>
  <c r="L91" i="4"/>
  <c r="L94" i="4"/>
  <c r="L90" i="4"/>
  <c r="L86" i="4"/>
  <c r="L82" i="4"/>
  <c r="L78" i="4"/>
  <c r="G75" i="4"/>
  <c r="H95" i="4"/>
  <c r="H91" i="4"/>
  <c r="H94" i="4"/>
  <c r="J94" i="4" s="1"/>
  <c r="O94" i="4" s="1"/>
  <c r="H90" i="4"/>
  <c r="H86" i="4"/>
  <c r="H82" i="4"/>
  <c r="H78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6" i="4"/>
  <c r="Q21" i="13" l="1"/>
  <c r="P22" i="13"/>
  <c r="S25" i="13"/>
  <c r="U24" i="13"/>
  <c r="Y62" i="9"/>
  <c r="W63" i="9"/>
  <c r="W18" i="9"/>
  <c r="U19" i="9"/>
  <c r="W17" i="8"/>
  <c r="U18" i="8"/>
  <c r="Y57" i="8"/>
  <c r="W58" i="8"/>
  <c r="L96" i="4"/>
  <c r="H96" i="4"/>
  <c r="N96" i="4"/>
  <c r="N75" i="4"/>
  <c r="H75" i="4"/>
  <c r="L75" i="4"/>
  <c r="N79" i="4"/>
  <c r="H79" i="4"/>
  <c r="J79" i="4" s="1"/>
  <c r="O79" i="4" s="1"/>
  <c r="L79" i="4"/>
  <c r="N83" i="4"/>
  <c r="H83" i="4"/>
  <c r="J83" i="4" s="1"/>
  <c r="O83" i="4" s="1"/>
  <c r="L83" i="4"/>
  <c r="N87" i="4"/>
  <c r="H87" i="4"/>
  <c r="L87" i="4"/>
  <c r="I83" i="4"/>
  <c r="K83" i="4" s="1"/>
  <c r="I81" i="4"/>
  <c r="J86" i="4"/>
  <c r="O86" i="4" s="1"/>
  <c r="I89" i="4"/>
  <c r="I91" i="4"/>
  <c r="J91" i="4"/>
  <c r="O91" i="4" s="1"/>
  <c r="I79" i="4"/>
  <c r="K79" i="4" s="1"/>
  <c r="I77" i="4"/>
  <c r="I82" i="4"/>
  <c r="J82" i="4"/>
  <c r="O82" i="4" s="1"/>
  <c r="I90" i="4"/>
  <c r="J90" i="4"/>
  <c r="O90" i="4" s="1"/>
  <c r="I78" i="4"/>
  <c r="J78" i="4"/>
  <c r="O78" i="4" s="1"/>
  <c r="J81" i="4"/>
  <c r="O81" i="4" s="1"/>
  <c r="J89" i="4"/>
  <c r="O89" i="4" s="1"/>
  <c r="I94" i="4"/>
  <c r="I86" i="4"/>
  <c r="U25" i="13" l="1"/>
  <c r="S26" i="13"/>
  <c r="U26" i="13" s="1"/>
  <c r="P23" i="13"/>
  <c r="Q22" i="13"/>
  <c r="Y63" i="9"/>
  <c r="W64" i="9"/>
  <c r="W19" i="9"/>
  <c r="U20" i="9"/>
  <c r="Y58" i="8"/>
  <c r="W59" i="8"/>
  <c r="W18" i="8"/>
  <c r="U19" i="8"/>
  <c r="M83" i="4"/>
  <c r="K90" i="4"/>
  <c r="M90" i="4"/>
  <c r="K89" i="4"/>
  <c r="M89" i="4"/>
  <c r="K94" i="4"/>
  <c r="M94" i="4"/>
  <c r="K78" i="4"/>
  <c r="M78" i="4"/>
  <c r="K82" i="4"/>
  <c r="M82" i="4"/>
  <c r="K81" i="4"/>
  <c r="M81" i="4"/>
  <c r="K86" i="4"/>
  <c r="M86" i="4"/>
  <c r="M79" i="4"/>
  <c r="K77" i="4"/>
  <c r="M91" i="4"/>
  <c r="K91" i="4"/>
  <c r="J77" i="4"/>
  <c r="O77" i="4" s="1"/>
  <c r="J96" i="4"/>
  <c r="O96" i="4" s="1"/>
  <c r="I96" i="4"/>
  <c r="I84" i="4"/>
  <c r="J84" i="4"/>
  <c r="O84" i="4" s="1"/>
  <c r="J76" i="4"/>
  <c r="O76" i="4" s="1"/>
  <c r="I76" i="4"/>
  <c r="I92" i="4"/>
  <c r="J92" i="4"/>
  <c r="O92" i="4" s="1"/>
  <c r="J93" i="4"/>
  <c r="O93" i="4" s="1"/>
  <c r="I93" i="4"/>
  <c r="J87" i="4"/>
  <c r="O87" i="4" s="1"/>
  <c r="I87" i="4"/>
  <c r="J85" i="4"/>
  <c r="O85" i="4" s="1"/>
  <c r="I85" i="4"/>
  <c r="I88" i="4"/>
  <c r="J88" i="4"/>
  <c r="O88" i="4" s="1"/>
  <c r="J80" i="4"/>
  <c r="O80" i="4" s="1"/>
  <c r="I80" i="4"/>
  <c r="J75" i="4"/>
  <c r="O75" i="4" s="1"/>
  <c r="I75" i="4"/>
  <c r="J95" i="4"/>
  <c r="O95" i="4" s="1"/>
  <c r="I95" i="4"/>
  <c r="E44" i="4"/>
  <c r="G44" i="4" l="1"/>
  <c r="Q23" i="13"/>
  <c r="P24" i="13"/>
  <c r="Y64" i="9"/>
  <c r="W65" i="9"/>
  <c r="W20" i="9"/>
  <c r="U21" i="9"/>
  <c r="W19" i="8"/>
  <c r="U20" i="8"/>
  <c r="Y59" i="8"/>
  <c r="W60" i="8"/>
  <c r="K87" i="4"/>
  <c r="M87" i="4"/>
  <c r="K92" i="4"/>
  <c r="M92" i="4"/>
  <c r="M88" i="4"/>
  <c r="K88" i="4"/>
  <c r="K80" i="4"/>
  <c r="M80" i="4"/>
  <c r="K85" i="4"/>
  <c r="M85" i="4"/>
  <c r="K76" i="4"/>
  <c r="M76" i="4"/>
  <c r="K96" i="4"/>
  <c r="M96" i="4"/>
  <c r="K75" i="4"/>
  <c r="M75" i="4"/>
  <c r="K84" i="4"/>
  <c r="M84" i="4"/>
  <c r="K95" i="4"/>
  <c r="M95" i="4"/>
  <c r="K93" i="4"/>
  <c r="M93" i="4"/>
  <c r="M77" i="4"/>
  <c r="L44" i="4" l="1"/>
  <c r="H44" i="4"/>
  <c r="N44" i="4"/>
  <c r="P25" i="13"/>
  <c r="Q24" i="13"/>
  <c r="Y65" i="9"/>
  <c r="W66" i="9"/>
  <c r="W21" i="9"/>
  <c r="U22" i="9"/>
  <c r="Y60" i="8"/>
  <c r="W61" i="8"/>
  <c r="U21" i="8"/>
  <c r="W20" i="8"/>
  <c r="E45" i="4"/>
  <c r="F65" i="4"/>
  <c r="E65" i="4"/>
  <c r="F64" i="4"/>
  <c r="E64" i="4"/>
  <c r="F63" i="4"/>
  <c r="E63" i="4"/>
  <c r="F62" i="4"/>
  <c r="E62" i="4"/>
  <c r="F61" i="4"/>
  <c r="E61" i="4"/>
  <c r="F60" i="4"/>
  <c r="E60" i="4"/>
  <c r="F59" i="4"/>
  <c r="E59" i="4"/>
  <c r="F58" i="4"/>
  <c r="E58" i="4"/>
  <c r="F57" i="4"/>
  <c r="E57" i="4"/>
  <c r="F56" i="4"/>
  <c r="E56" i="4"/>
  <c r="F55" i="4"/>
  <c r="E55" i="4"/>
  <c r="F54" i="4"/>
  <c r="E54" i="4"/>
  <c r="F53" i="4"/>
  <c r="E53" i="4"/>
  <c r="F52" i="4"/>
  <c r="E52" i="4"/>
  <c r="F51" i="4"/>
  <c r="E51" i="4"/>
  <c r="F50" i="4"/>
  <c r="E50" i="4"/>
  <c r="F49" i="4"/>
  <c r="E49" i="4"/>
  <c r="F48" i="4"/>
  <c r="E48" i="4"/>
  <c r="F47" i="4"/>
  <c r="E47" i="4"/>
  <c r="F46" i="4"/>
  <c r="E46" i="4"/>
  <c r="F45" i="4"/>
  <c r="G48" i="4" l="1"/>
  <c r="G50" i="4"/>
  <c r="G54" i="4"/>
  <c r="G58" i="4"/>
  <c r="O60" i="4"/>
  <c r="G60" i="4"/>
  <c r="G64" i="4"/>
  <c r="G47" i="4"/>
  <c r="K51" i="4"/>
  <c r="G51" i="4"/>
  <c r="G46" i="4"/>
  <c r="G52" i="4"/>
  <c r="G56" i="4"/>
  <c r="G62" i="4"/>
  <c r="G45" i="4"/>
  <c r="G49" i="4"/>
  <c r="G53" i="4"/>
  <c r="G55" i="4"/>
  <c r="G57" i="4"/>
  <c r="G59" i="4"/>
  <c r="G61" i="4"/>
  <c r="G63" i="4"/>
  <c r="G65" i="4"/>
  <c r="P26" i="13"/>
  <c r="Q26" i="13" s="1"/>
  <c r="Q25" i="13"/>
  <c r="W22" i="9"/>
  <c r="U23" i="9"/>
  <c r="W67" i="9"/>
  <c r="Y66" i="9"/>
  <c r="W21" i="8"/>
  <c r="U22" i="8"/>
  <c r="Y61" i="8"/>
  <c r="W62" i="8"/>
  <c r="I51" i="4"/>
  <c r="H63" i="4"/>
  <c r="J63" i="4" s="1"/>
  <c r="O63" i="4" s="1"/>
  <c r="H60" i="4"/>
  <c r="J60" i="4" s="1"/>
  <c r="H51" i="4"/>
  <c r="J51" i="4" s="1"/>
  <c r="O51" i="4" s="1"/>
  <c r="H59" i="4"/>
  <c r="J59" i="4" s="1"/>
  <c r="O59" i="4" s="1"/>
  <c r="N49" i="4" l="1"/>
  <c r="L49" i="4"/>
  <c r="N52" i="4"/>
  <c r="L52" i="4"/>
  <c r="N48" i="4"/>
  <c r="L48" i="4"/>
  <c r="L63" i="4"/>
  <c r="N63" i="4"/>
  <c r="N56" i="4"/>
  <c r="L56" i="4"/>
  <c r="L50" i="4"/>
  <c r="N50" i="4"/>
  <c r="H52" i="4"/>
  <c r="J52" i="4" s="1"/>
  <c r="O52" i="4" s="1"/>
  <c r="I52" i="4"/>
  <c r="K52" i="4" s="1"/>
  <c r="L59" i="4"/>
  <c r="N59" i="4"/>
  <c r="N57" i="4"/>
  <c r="L57" i="4"/>
  <c r="N45" i="4"/>
  <c r="L45" i="4"/>
  <c r="L62" i="4"/>
  <c r="N62" i="4"/>
  <c r="L46" i="4"/>
  <c r="N46" i="4"/>
  <c r="N60" i="4"/>
  <c r="L60" i="4"/>
  <c r="L58" i="4"/>
  <c r="M58" i="4"/>
  <c r="N58" i="4"/>
  <c r="L54" i="4"/>
  <c r="N54" i="4"/>
  <c r="N64" i="4"/>
  <c r="L64" i="4"/>
  <c r="M64" i="4"/>
  <c r="M61" i="4"/>
  <c r="N61" i="4"/>
  <c r="L61" i="4"/>
  <c r="L47" i="4"/>
  <c r="N47" i="4"/>
  <c r="H64" i="4"/>
  <c r="J64" i="4" s="1"/>
  <c r="O64" i="4" s="1"/>
  <c r="M65" i="4"/>
  <c r="N65" i="4"/>
  <c r="L65" i="4"/>
  <c r="I59" i="4"/>
  <c r="K59" i="4" s="1"/>
  <c r="L55" i="4"/>
  <c r="N55" i="4"/>
  <c r="N53" i="4"/>
  <c r="L53" i="4"/>
  <c r="L51" i="4"/>
  <c r="M51" i="4"/>
  <c r="N51" i="4"/>
  <c r="I60" i="4"/>
  <c r="K60" i="4" s="1"/>
  <c r="W23" i="9"/>
  <c r="U24" i="9"/>
  <c r="W68" i="9"/>
  <c r="Y67" i="9"/>
  <c r="Y62" i="8"/>
  <c r="W63" i="8"/>
  <c r="U23" i="8"/>
  <c r="W22" i="8"/>
  <c r="H48" i="4"/>
  <c r="J48" i="4" s="1"/>
  <c r="O48" i="4" s="1"/>
  <c r="H55" i="4"/>
  <c r="J55" i="4" s="1"/>
  <c r="O55" i="4" s="1"/>
  <c r="H56" i="4"/>
  <c r="J56" i="4" s="1"/>
  <c r="O56" i="4" s="1"/>
  <c r="H47" i="4"/>
  <c r="J47" i="4" s="1"/>
  <c r="O47" i="4" s="1"/>
  <c r="I61" i="4"/>
  <c r="K61" i="4" s="1"/>
  <c r="I45" i="4"/>
  <c r="K45" i="4" s="1"/>
  <c r="I54" i="4"/>
  <c r="K54" i="4" s="1"/>
  <c r="I63" i="4"/>
  <c r="K63" i="4" s="1"/>
  <c r="I64" i="4"/>
  <c r="K64" i="4" s="1"/>
  <c r="I57" i="4"/>
  <c r="K57" i="4" s="1"/>
  <c r="I53" i="4"/>
  <c r="K53" i="4" s="1"/>
  <c r="I62" i="4"/>
  <c r="K62" i="4" s="1"/>
  <c r="I58" i="4"/>
  <c r="K58" i="4" s="1"/>
  <c r="I47" i="4"/>
  <c r="K47" i="4" s="1"/>
  <c r="I48" i="4"/>
  <c r="K48" i="4" s="1"/>
  <c r="I46" i="4"/>
  <c r="K46" i="4" s="1"/>
  <c r="I65" i="4"/>
  <c r="K65" i="4" s="1"/>
  <c r="I49" i="4"/>
  <c r="K49" i="4" s="1"/>
  <c r="I50" i="4"/>
  <c r="K50" i="4" s="1"/>
  <c r="I55" i="4"/>
  <c r="K55" i="4" s="1"/>
  <c r="I56" i="4"/>
  <c r="K56" i="4" s="1"/>
  <c r="H53" i="4"/>
  <c r="J53" i="4" s="1"/>
  <c r="O53" i="4" s="1"/>
  <c r="H58" i="4"/>
  <c r="J58" i="4" s="1"/>
  <c r="O58" i="4" s="1"/>
  <c r="H57" i="4"/>
  <c r="J57" i="4" s="1"/>
  <c r="O57" i="4" s="1"/>
  <c r="H50" i="4"/>
  <c r="J50" i="4" s="1"/>
  <c r="O50" i="4" s="1"/>
  <c r="H46" i="4"/>
  <c r="J46" i="4" s="1"/>
  <c r="O46" i="4" s="1"/>
  <c r="H61" i="4"/>
  <c r="J61" i="4" s="1"/>
  <c r="O61" i="4" s="1"/>
  <c r="H45" i="4"/>
  <c r="J45" i="4" s="1"/>
  <c r="O45" i="4" s="1"/>
  <c r="H65" i="4"/>
  <c r="J65" i="4" s="1"/>
  <c r="O65" i="4" s="1"/>
  <c r="H49" i="4"/>
  <c r="J49" i="4" s="1"/>
  <c r="O49" i="4" s="1"/>
  <c r="H62" i="4"/>
  <c r="J62" i="4" s="1"/>
  <c r="O62" i="4" s="1"/>
  <c r="H54" i="4"/>
  <c r="J54" i="4" s="1"/>
  <c r="O54" i="4" s="1"/>
  <c r="M57" i="4" l="1"/>
  <c r="M62" i="4"/>
  <c r="M53" i="4"/>
  <c r="M60" i="4"/>
  <c r="M46" i="4"/>
  <c r="M59" i="4"/>
  <c r="M52" i="4"/>
  <c r="M55" i="4"/>
  <c r="M47" i="4"/>
  <c r="M54" i="4"/>
  <c r="M45" i="4"/>
  <c r="M56" i="4"/>
  <c r="M63" i="4"/>
  <c r="M50" i="4"/>
  <c r="M48" i="4"/>
  <c r="M49" i="4"/>
  <c r="W69" i="9"/>
  <c r="Y68" i="9"/>
  <c r="W24" i="9"/>
  <c r="U25" i="9"/>
  <c r="W23" i="8"/>
  <c r="U24" i="8"/>
  <c r="Y63" i="8"/>
  <c r="W64" i="8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14" i="4"/>
  <c r="Y14" i="4" s="1"/>
  <c r="AA14" i="4" s="1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Y15" i="4" l="1"/>
  <c r="Y16" i="4" s="1"/>
  <c r="AA15" i="4"/>
  <c r="W25" i="9"/>
  <c r="U26" i="9"/>
  <c r="W70" i="9"/>
  <c r="Y69" i="9"/>
  <c r="Y64" i="8"/>
  <c r="W65" i="8"/>
  <c r="U25" i="8"/>
  <c r="W24" i="8"/>
  <c r="G31" i="4"/>
  <c r="G27" i="4"/>
  <c r="G23" i="4"/>
  <c r="G19" i="4"/>
  <c r="G15" i="4"/>
  <c r="G13" i="4"/>
  <c r="G30" i="4"/>
  <c r="G26" i="4"/>
  <c r="G22" i="4"/>
  <c r="G18" i="4"/>
  <c r="N18" i="4" s="1"/>
  <c r="G14" i="4"/>
  <c r="G33" i="4"/>
  <c r="G29" i="4"/>
  <c r="G25" i="4"/>
  <c r="G21" i="4"/>
  <c r="G17" i="4"/>
  <c r="G34" i="4"/>
  <c r="G32" i="4"/>
  <c r="G28" i="4"/>
  <c r="G24" i="4"/>
  <c r="G20" i="4"/>
  <c r="G16" i="4"/>
  <c r="Y17" i="4" l="1"/>
  <c r="AA16" i="4"/>
  <c r="W71" i="9"/>
  <c r="Y70" i="9"/>
  <c r="W26" i="9"/>
  <c r="U27" i="9"/>
  <c r="W25" i="8"/>
  <c r="U26" i="8"/>
  <c r="Y65" i="8"/>
  <c r="W66" i="8"/>
  <c r="N28" i="4"/>
  <c r="H28" i="4"/>
  <c r="L28" i="4"/>
  <c r="I28" i="4"/>
  <c r="L34" i="4"/>
  <c r="I34" i="4"/>
  <c r="K34" i="4" s="1"/>
  <c r="N34" i="4"/>
  <c r="H34" i="4"/>
  <c r="L29" i="4"/>
  <c r="I29" i="4"/>
  <c r="N29" i="4"/>
  <c r="H29" i="4"/>
  <c r="H14" i="4"/>
  <c r="L14" i="4"/>
  <c r="I14" i="4"/>
  <c r="K14" i="4" s="1"/>
  <c r="N14" i="4"/>
  <c r="AE76" i="4" s="1"/>
  <c r="H30" i="4"/>
  <c r="L30" i="4"/>
  <c r="I30" i="4"/>
  <c r="K30" i="4" s="1"/>
  <c r="T92" i="4" s="1"/>
  <c r="N30" i="4"/>
  <c r="N15" i="4"/>
  <c r="H15" i="4"/>
  <c r="L15" i="4"/>
  <c r="I15" i="4"/>
  <c r="K15" i="4" s="1"/>
  <c r="T77" i="4" s="1"/>
  <c r="U78" i="4" s="1"/>
  <c r="N31" i="4"/>
  <c r="H31" i="4"/>
  <c r="L31" i="4"/>
  <c r="I31" i="4"/>
  <c r="K31" i="4" s="1"/>
  <c r="T93" i="4" s="1"/>
  <c r="N16" i="4"/>
  <c r="H16" i="4"/>
  <c r="L16" i="4"/>
  <c r="I16" i="4"/>
  <c r="N32" i="4"/>
  <c r="H32" i="4"/>
  <c r="L32" i="4"/>
  <c r="I32" i="4"/>
  <c r="L17" i="4"/>
  <c r="I17" i="4"/>
  <c r="N17" i="4"/>
  <c r="H17" i="4"/>
  <c r="L33" i="4"/>
  <c r="I33" i="4"/>
  <c r="N33" i="4"/>
  <c r="H33" i="4"/>
  <c r="H18" i="4"/>
  <c r="L18" i="4"/>
  <c r="I18" i="4"/>
  <c r="K18" i="4" s="1"/>
  <c r="T80" i="4" s="1"/>
  <c r="N13" i="4"/>
  <c r="H13" i="4"/>
  <c r="I13" i="4"/>
  <c r="K13" i="4" s="1"/>
  <c r="L13" i="4"/>
  <c r="AD13" i="4" s="1"/>
  <c r="N19" i="4"/>
  <c r="H19" i="4"/>
  <c r="L19" i="4"/>
  <c r="I19" i="4"/>
  <c r="K19" i="4" s="1"/>
  <c r="T81" i="4" s="1"/>
  <c r="N20" i="4"/>
  <c r="H20" i="4"/>
  <c r="L20" i="4"/>
  <c r="I20" i="4"/>
  <c r="L21" i="4"/>
  <c r="I21" i="4"/>
  <c r="N21" i="4"/>
  <c r="H21" i="4"/>
  <c r="H22" i="4"/>
  <c r="L22" i="4"/>
  <c r="I22" i="4"/>
  <c r="K22" i="4" s="1"/>
  <c r="T84" i="4" s="1"/>
  <c r="N22" i="4"/>
  <c r="N23" i="4"/>
  <c r="H23" i="4"/>
  <c r="L23" i="4"/>
  <c r="I23" i="4"/>
  <c r="K23" i="4" s="1"/>
  <c r="T85" i="4" s="1"/>
  <c r="N24" i="4"/>
  <c r="H24" i="4"/>
  <c r="L24" i="4"/>
  <c r="I24" i="4"/>
  <c r="L25" i="4"/>
  <c r="I25" i="4"/>
  <c r="N25" i="4"/>
  <c r="H25" i="4"/>
  <c r="H26" i="4"/>
  <c r="L26" i="4"/>
  <c r="I26" i="4"/>
  <c r="K26" i="4" s="1"/>
  <c r="T88" i="4" s="1"/>
  <c r="N26" i="4"/>
  <c r="N27" i="4"/>
  <c r="H27" i="4"/>
  <c r="L27" i="4"/>
  <c r="I27" i="4"/>
  <c r="K27" i="4" s="1"/>
  <c r="T89" i="4" s="1"/>
  <c r="T76" i="4" l="1"/>
  <c r="X77" i="4" s="1"/>
  <c r="Y18" i="4"/>
  <c r="AA17" i="4"/>
  <c r="X93" i="4"/>
  <c r="X89" i="4"/>
  <c r="X85" i="4"/>
  <c r="X81" i="4"/>
  <c r="W27" i="9"/>
  <c r="U28" i="9"/>
  <c r="Y71" i="9"/>
  <c r="W72" i="9"/>
  <c r="Y66" i="8"/>
  <c r="W67" i="8"/>
  <c r="U27" i="8"/>
  <c r="W26" i="8"/>
  <c r="T35" i="4"/>
  <c r="T96" i="4"/>
  <c r="AE26" i="4"/>
  <c r="AE22" i="4"/>
  <c r="AE18" i="4"/>
  <c r="AE14" i="4"/>
  <c r="AD24" i="4"/>
  <c r="AD20" i="4"/>
  <c r="AE33" i="4"/>
  <c r="AD32" i="4"/>
  <c r="AD31" i="4"/>
  <c r="AD15" i="4"/>
  <c r="AE29" i="4"/>
  <c r="AE34" i="4"/>
  <c r="AD28" i="4"/>
  <c r="AD26" i="4"/>
  <c r="AD22" i="4"/>
  <c r="AD18" i="4"/>
  <c r="AD30" i="4"/>
  <c r="AD14" i="4"/>
  <c r="AD75" i="4"/>
  <c r="AE30" i="4"/>
  <c r="AD27" i="4"/>
  <c r="AE25" i="4"/>
  <c r="AD23" i="4"/>
  <c r="AE21" i="4"/>
  <c r="AD19" i="4"/>
  <c r="AE17" i="4"/>
  <c r="AD16" i="4"/>
  <c r="AE27" i="4"/>
  <c r="AD25" i="4"/>
  <c r="AE24" i="4"/>
  <c r="AE23" i="4"/>
  <c r="AD21" i="4"/>
  <c r="AE20" i="4"/>
  <c r="AE19" i="4"/>
  <c r="AE13" i="4"/>
  <c r="AD33" i="4"/>
  <c r="AD17" i="4"/>
  <c r="AE32" i="4"/>
  <c r="AE16" i="4"/>
  <c r="AE31" i="4"/>
  <c r="AE15" i="4"/>
  <c r="AD29" i="4"/>
  <c r="AD34" i="4"/>
  <c r="AE28" i="4"/>
  <c r="R54" i="4"/>
  <c r="AE54" i="4" s="1"/>
  <c r="AE81" i="4"/>
  <c r="R50" i="4"/>
  <c r="AE50" i="4" s="1"/>
  <c r="R18" i="4"/>
  <c r="S19" i="4" s="1"/>
  <c r="AD94" i="4"/>
  <c r="R63" i="4"/>
  <c r="AD63" i="4" s="1"/>
  <c r="AE78" i="4"/>
  <c r="R47" i="4"/>
  <c r="AE47" i="4" s="1"/>
  <c r="AE93" i="4"/>
  <c r="R62" i="4"/>
  <c r="AD62" i="4" s="1"/>
  <c r="R46" i="4"/>
  <c r="S46" i="4" s="1"/>
  <c r="R30" i="4"/>
  <c r="S31" i="4" s="1"/>
  <c r="T14" i="4"/>
  <c r="AD90" i="4"/>
  <c r="R59" i="4"/>
  <c r="AD59" i="4" s="1"/>
  <c r="R26" i="4"/>
  <c r="S27" i="4" s="1"/>
  <c r="AD86" i="4"/>
  <c r="R55" i="4"/>
  <c r="AD55" i="4" s="1"/>
  <c r="R22" i="4"/>
  <c r="S23" i="4" s="1"/>
  <c r="AD82" i="4"/>
  <c r="R51" i="4"/>
  <c r="AE51" i="4" s="1"/>
  <c r="R57" i="4"/>
  <c r="S57" i="4" s="1"/>
  <c r="AD84" i="4"/>
  <c r="R53" i="4"/>
  <c r="AD53" i="4" s="1"/>
  <c r="R49" i="4"/>
  <c r="S49" i="4" s="1"/>
  <c r="AD92" i="4"/>
  <c r="R61" i="4"/>
  <c r="R45" i="4"/>
  <c r="AE45" i="4" s="1"/>
  <c r="AD76" i="4"/>
  <c r="R34" i="4"/>
  <c r="AD87" i="4"/>
  <c r="R56" i="4"/>
  <c r="AE56" i="4" s="1"/>
  <c r="R64" i="4"/>
  <c r="AE64" i="4" s="1"/>
  <c r="AE79" i="4"/>
  <c r="R48" i="4"/>
  <c r="AD48" i="4" s="1"/>
  <c r="AE94" i="4"/>
  <c r="R60" i="4"/>
  <c r="AD60" i="4" s="1"/>
  <c r="R65" i="4"/>
  <c r="AD89" i="4"/>
  <c r="R58" i="4"/>
  <c r="S58" i="4" s="1"/>
  <c r="R52" i="4"/>
  <c r="AE52" i="4" s="1"/>
  <c r="R27" i="4"/>
  <c r="S28" i="4" s="1"/>
  <c r="R23" i="4"/>
  <c r="S24" i="4" s="1"/>
  <c r="R19" i="4"/>
  <c r="S20" i="4" s="1"/>
  <c r="R44" i="4"/>
  <c r="R31" i="4"/>
  <c r="S32" i="4" s="1"/>
  <c r="R15" i="4"/>
  <c r="S16" i="4" s="1"/>
  <c r="T15" i="4"/>
  <c r="J25" i="4"/>
  <c r="O25" i="4" s="1"/>
  <c r="K24" i="4"/>
  <c r="T86" i="4" s="1"/>
  <c r="X86" i="4" s="1"/>
  <c r="J30" i="4"/>
  <c r="K29" i="4"/>
  <c r="T91" i="4" s="1"/>
  <c r="J28" i="4"/>
  <c r="J27" i="4"/>
  <c r="O27" i="4" s="1"/>
  <c r="J21" i="4"/>
  <c r="O21" i="4" s="1"/>
  <c r="K20" i="4"/>
  <c r="T82" i="4" s="1"/>
  <c r="X82" i="4" s="1"/>
  <c r="J18" i="4"/>
  <c r="O18" i="4" s="1"/>
  <c r="K33" i="4"/>
  <c r="T95" i="4" s="1"/>
  <c r="K17" i="4"/>
  <c r="T79" i="4" s="1"/>
  <c r="Z79" i="4" s="1"/>
  <c r="J32" i="4"/>
  <c r="J29" i="4"/>
  <c r="O29" i="4" s="1"/>
  <c r="K16" i="4"/>
  <c r="T78" i="4" s="1"/>
  <c r="X78" i="4" s="1"/>
  <c r="J14" i="4"/>
  <c r="J24" i="4"/>
  <c r="O24" i="4" s="1"/>
  <c r="J23" i="4"/>
  <c r="O23" i="4" s="1"/>
  <c r="J33" i="4"/>
  <c r="O33" i="4" s="1"/>
  <c r="J16" i="4"/>
  <c r="O16" i="4" s="1"/>
  <c r="J31" i="4"/>
  <c r="O31" i="4" s="1"/>
  <c r="J15" i="4"/>
  <c r="O15" i="4" s="1"/>
  <c r="R14" i="4"/>
  <c r="S15" i="4" s="1"/>
  <c r="J34" i="4"/>
  <c r="O34" i="4" s="1"/>
  <c r="K28" i="4"/>
  <c r="T90" i="4" s="1"/>
  <c r="X90" i="4" s="1"/>
  <c r="J22" i="4"/>
  <c r="J19" i="4"/>
  <c r="O19" i="4" s="1"/>
  <c r="J13" i="4"/>
  <c r="O13" i="4" s="1"/>
  <c r="K25" i="4"/>
  <c r="T87" i="4" s="1"/>
  <c r="J26" i="4"/>
  <c r="O26" i="4" s="1"/>
  <c r="K21" i="4"/>
  <c r="T83" i="4" s="1"/>
  <c r="J20" i="4"/>
  <c r="O20" i="4" s="1"/>
  <c r="R13" i="4"/>
  <c r="J17" i="4"/>
  <c r="O17" i="4" s="1"/>
  <c r="K32" i="4"/>
  <c r="T94" i="4" s="1"/>
  <c r="X94" i="4" s="1"/>
  <c r="T27" i="4"/>
  <c r="T23" i="4"/>
  <c r="T31" i="4"/>
  <c r="T19" i="4"/>
  <c r="O14" i="4" l="1"/>
  <c r="Y19" i="4"/>
  <c r="AA18" i="4"/>
  <c r="AC13" i="4"/>
  <c r="V13" i="4"/>
  <c r="X87" i="4"/>
  <c r="W28" i="9"/>
  <c r="U29" i="9"/>
  <c r="Y72" i="9"/>
  <c r="W73" i="9"/>
  <c r="W27" i="8"/>
  <c r="U28" i="8"/>
  <c r="Y67" i="8"/>
  <c r="W68" i="8"/>
  <c r="X79" i="4"/>
  <c r="X83" i="4"/>
  <c r="X91" i="4"/>
  <c r="X80" i="4"/>
  <c r="X92" i="4"/>
  <c r="X84" i="4"/>
  <c r="X95" i="4"/>
  <c r="X96" i="4"/>
  <c r="X97" i="4"/>
  <c r="X88" i="4"/>
  <c r="V34" i="4"/>
  <c r="S35" i="4"/>
  <c r="V31" i="4"/>
  <c r="AE65" i="4"/>
  <c r="U66" i="4"/>
  <c r="AC93" i="4"/>
  <c r="V30" i="4"/>
  <c r="AC22" i="4"/>
  <c r="AE49" i="4"/>
  <c r="AE63" i="4"/>
  <c r="AD54" i="4"/>
  <c r="AE59" i="4"/>
  <c r="AD57" i="4"/>
  <c r="AC14" i="4"/>
  <c r="AD49" i="4"/>
  <c r="AD56" i="4"/>
  <c r="AE62" i="4"/>
  <c r="AE55" i="4"/>
  <c r="AD45" i="4"/>
  <c r="AD46" i="4"/>
  <c r="AE90" i="4"/>
  <c r="AE48" i="4"/>
  <c r="AE80" i="4"/>
  <c r="AC58" i="4"/>
  <c r="AC49" i="4"/>
  <c r="AC46" i="4"/>
  <c r="AD47" i="4"/>
  <c r="AG64" i="4"/>
  <c r="AG33" i="4"/>
  <c r="AG27" i="4"/>
  <c r="AG58" i="4"/>
  <c r="AG79" i="4"/>
  <c r="AG48" i="4"/>
  <c r="AG17" i="4"/>
  <c r="AG85" i="4"/>
  <c r="AG23" i="4"/>
  <c r="AG54" i="4"/>
  <c r="AG80" i="4"/>
  <c r="AG49" i="4"/>
  <c r="AG18" i="4"/>
  <c r="AG56" i="4"/>
  <c r="AG25" i="4"/>
  <c r="AD64" i="4"/>
  <c r="AE58" i="4"/>
  <c r="AD50" i="4"/>
  <c r="AD58" i="4"/>
  <c r="AC27" i="4"/>
  <c r="AC26" i="4"/>
  <c r="M33" i="4"/>
  <c r="AG88" i="4"/>
  <c r="AG57" i="4"/>
  <c r="AG26" i="4"/>
  <c r="AG13" i="4"/>
  <c r="AG65" i="4"/>
  <c r="AG34" i="4"/>
  <c r="AG93" i="4"/>
  <c r="AG31" i="4"/>
  <c r="AG62" i="4"/>
  <c r="AG86" i="4"/>
  <c r="AG24" i="4"/>
  <c r="AG55" i="4"/>
  <c r="AE92" i="4"/>
  <c r="AE46" i="4"/>
  <c r="AD52" i="4"/>
  <c r="AC31" i="4"/>
  <c r="AC34" i="4"/>
  <c r="AE60" i="4"/>
  <c r="AC30" i="4"/>
  <c r="AC57" i="4"/>
  <c r="AE57" i="4"/>
  <c r="AG20" i="4"/>
  <c r="AG51" i="4"/>
  <c r="T34" i="4"/>
  <c r="AD51" i="4"/>
  <c r="AE53" i="4"/>
  <c r="AG15" i="4"/>
  <c r="AG46" i="4"/>
  <c r="AG60" i="4"/>
  <c r="AG29" i="4"/>
  <c r="AD44" i="4"/>
  <c r="M25" i="4"/>
  <c r="AF87" i="4" s="1"/>
  <c r="V27" i="4"/>
  <c r="AG19" i="4"/>
  <c r="AG50" i="4"/>
  <c r="AG78" i="4"/>
  <c r="AG16" i="4"/>
  <c r="AG47" i="4"/>
  <c r="AG76" i="4"/>
  <c r="AG45" i="4"/>
  <c r="AG14" i="4"/>
  <c r="AG83" i="4"/>
  <c r="AG52" i="4"/>
  <c r="AG21" i="4"/>
  <c r="AE77" i="4"/>
  <c r="AD65" i="4"/>
  <c r="AC18" i="4"/>
  <c r="AE61" i="4"/>
  <c r="AC23" i="4"/>
  <c r="AD61" i="4"/>
  <c r="AC15" i="4"/>
  <c r="AC19" i="4"/>
  <c r="AD77" i="4"/>
  <c r="AG95" i="4"/>
  <c r="AD79" i="4"/>
  <c r="V23" i="4"/>
  <c r="V26" i="4"/>
  <c r="M16" i="4"/>
  <c r="V18" i="4"/>
  <c r="AG77" i="4"/>
  <c r="V22" i="4"/>
  <c r="V15" i="4"/>
  <c r="Z89" i="4"/>
  <c r="T50" i="4"/>
  <c r="R29" i="4"/>
  <c r="S30" i="4" s="1"/>
  <c r="Z91" i="4"/>
  <c r="S60" i="4"/>
  <c r="X60" i="4" s="1"/>
  <c r="U86" i="4"/>
  <c r="V58" i="4"/>
  <c r="T59" i="4"/>
  <c r="U52" i="4"/>
  <c r="U58" i="4"/>
  <c r="X58" i="4"/>
  <c r="U65" i="4"/>
  <c r="V91" i="4"/>
  <c r="U56" i="4"/>
  <c r="S65" i="4"/>
  <c r="U53" i="4"/>
  <c r="V88" i="4"/>
  <c r="U51" i="4"/>
  <c r="AC84" i="4"/>
  <c r="V86" i="4"/>
  <c r="U47" i="4"/>
  <c r="V94" i="4"/>
  <c r="U50" i="4"/>
  <c r="U54" i="4"/>
  <c r="R17" i="4"/>
  <c r="AC17" i="4" s="1"/>
  <c r="S48" i="4"/>
  <c r="X48" i="4" s="1"/>
  <c r="V83" i="4"/>
  <c r="U45" i="4"/>
  <c r="AD88" i="4"/>
  <c r="U62" i="4"/>
  <c r="V78" i="4"/>
  <c r="U81" i="4"/>
  <c r="V81" i="4"/>
  <c r="Z85" i="4"/>
  <c r="V85" i="4"/>
  <c r="R21" i="4"/>
  <c r="AC21" i="4" s="1"/>
  <c r="AC83" i="4"/>
  <c r="S52" i="4"/>
  <c r="AC52" i="4" s="1"/>
  <c r="R28" i="4"/>
  <c r="S29" i="4" s="1"/>
  <c r="AC90" i="4"/>
  <c r="S59" i="4"/>
  <c r="AC59" i="4" s="1"/>
  <c r="R33" i="4"/>
  <c r="S34" i="4" s="1"/>
  <c r="AC95" i="4"/>
  <c r="S64" i="4"/>
  <c r="X64" i="4" s="1"/>
  <c r="V96" i="4"/>
  <c r="AD91" i="4"/>
  <c r="U64" i="4"/>
  <c r="U49" i="4"/>
  <c r="X49" i="4"/>
  <c r="S45" i="4"/>
  <c r="V46" i="4" s="1"/>
  <c r="T30" i="4"/>
  <c r="T29" i="4"/>
  <c r="U13" i="4"/>
  <c r="S14" i="4"/>
  <c r="AG96" i="4"/>
  <c r="V19" i="4"/>
  <c r="AG91" i="4"/>
  <c r="AG89" i="4"/>
  <c r="R24" i="4"/>
  <c r="S25" i="4" s="1"/>
  <c r="AC86" i="4"/>
  <c r="S55" i="4"/>
  <c r="X55" i="4" s="1"/>
  <c r="S50" i="4"/>
  <c r="X50" i="4" s="1"/>
  <c r="AE84" i="4"/>
  <c r="AD83" i="4"/>
  <c r="AD96" i="4"/>
  <c r="U48" i="4"/>
  <c r="V95" i="4"/>
  <c r="AE82" i="4"/>
  <c r="U61" i="4"/>
  <c r="V80" i="4"/>
  <c r="Z80" i="4"/>
  <c r="T58" i="4"/>
  <c r="U59" i="4"/>
  <c r="AE91" i="4"/>
  <c r="S61" i="4"/>
  <c r="AC61" i="4" s="1"/>
  <c r="U46" i="4"/>
  <c r="X46" i="4"/>
  <c r="V93" i="4"/>
  <c r="AD78" i="4"/>
  <c r="AC80" i="4"/>
  <c r="AD81" i="4"/>
  <c r="AD85" i="4"/>
  <c r="R16" i="4"/>
  <c r="S17" i="4" s="1"/>
  <c r="AC78" i="4"/>
  <c r="S47" i="4"/>
  <c r="X47" i="4" s="1"/>
  <c r="T18" i="4"/>
  <c r="AC77" i="4"/>
  <c r="AC85" i="4"/>
  <c r="V89" i="4"/>
  <c r="V87" i="4"/>
  <c r="V84" i="4"/>
  <c r="V82" i="4"/>
  <c r="AE96" i="4"/>
  <c r="R32" i="4"/>
  <c r="S33" i="4" s="1"/>
  <c r="AC94" i="4"/>
  <c r="S63" i="4"/>
  <c r="AC63" i="4" s="1"/>
  <c r="AG82" i="4"/>
  <c r="R25" i="4"/>
  <c r="S26" i="4" s="1"/>
  <c r="S56" i="4"/>
  <c r="AC56" i="4" s="1"/>
  <c r="AG81" i="4"/>
  <c r="M29" i="4"/>
  <c r="R20" i="4"/>
  <c r="S21" i="4" s="1"/>
  <c r="AC82" i="4"/>
  <c r="S51" i="4"/>
  <c r="X51" i="4" s="1"/>
  <c r="AG87" i="4"/>
  <c r="T47" i="4"/>
  <c r="S62" i="4"/>
  <c r="X62" i="4" s="1"/>
  <c r="S54" i="4"/>
  <c r="AC54" i="4" s="1"/>
  <c r="AE88" i="4"/>
  <c r="AE86" i="4"/>
  <c r="U60" i="4"/>
  <c r="V79" i="4"/>
  <c r="AD95" i="4"/>
  <c r="AE85" i="4"/>
  <c r="AE89" i="4"/>
  <c r="V92" i="4"/>
  <c r="AD80" i="4"/>
  <c r="X57" i="4"/>
  <c r="U57" i="4"/>
  <c r="S53" i="4"/>
  <c r="AC53" i="4" s="1"/>
  <c r="U55" i="4"/>
  <c r="Z88" i="4"/>
  <c r="V90" i="4"/>
  <c r="AC76" i="4"/>
  <c r="U77" i="4"/>
  <c r="Z76" i="4"/>
  <c r="V77" i="4"/>
  <c r="Z77" i="4"/>
  <c r="AD93" i="4"/>
  <c r="U63" i="4"/>
  <c r="AE95" i="4"/>
  <c r="AE83" i="4"/>
  <c r="AE87" i="4"/>
  <c r="T32" i="4"/>
  <c r="T33" i="4"/>
  <c r="M23" i="4"/>
  <c r="T25" i="4"/>
  <c r="T17" i="4"/>
  <c r="T24" i="4"/>
  <c r="M19" i="4"/>
  <c r="M31" i="4"/>
  <c r="M24" i="4"/>
  <c r="T20" i="4"/>
  <c r="M17" i="4"/>
  <c r="M13" i="4"/>
  <c r="M34" i="4"/>
  <c r="T16" i="4"/>
  <c r="M21" i="4"/>
  <c r="T26" i="4"/>
  <c r="T28" i="4"/>
  <c r="M14" i="4"/>
  <c r="M26" i="4"/>
  <c r="M18" i="4"/>
  <c r="O30" i="4"/>
  <c r="M30" i="4"/>
  <c r="M15" i="4"/>
  <c r="O32" i="4"/>
  <c r="M32" i="4"/>
  <c r="O28" i="4"/>
  <c r="M28" i="4"/>
  <c r="T22" i="4"/>
  <c r="M27" i="4"/>
  <c r="M20" i="4"/>
  <c r="T21" i="4"/>
  <c r="O22" i="4"/>
  <c r="M22" i="4"/>
  <c r="V14" i="4"/>
  <c r="Y20" i="4" l="1"/>
  <c r="AA19" i="4"/>
  <c r="U14" i="4"/>
  <c r="V29" i="4"/>
  <c r="W74" i="9"/>
  <c r="Y73" i="9"/>
  <c r="U30" i="9"/>
  <c r="W29" i="9"/>
  <c r="Y68" i="8"/>
  <c r="W69" i="8"/>
  <c r="U29" i="8"/>
  <c r="W28" i="8"/>
  <c r="X59" i="4"/>
  <c r="X63" i="4"/>
  <c r="AC65" i="4"/>
  <c r="T66" i="4"/>
  <c r="V66" i="4"/>
  <c r="U94" i="4"/>
  <c r="Z93" i="4"/>
  <c r="Z90" i="4"/>
  <c r="Z96" i="4"/>
  <c r="U97" i="4"/>
  <c r="AC89" i="4"/>
  <c r="V20" i="4"/>
  <c r="Z84" i="4"/>
  <c r="V33" i="4"/>
  <c r="V24" i="4"/>
  <c r="AC48" i="4"/>
  <c r="AC51" i="4"/>
  <c r="AC64" i="4"/>
  <c r="AC20" i="4"/>
  <c r="AC32" i="4"/>
  <c r="AF84" i="4"/>
  <c r="AF53" i="4"/>
  <c r="AF22" i="4"/>
  <c r="AF77" i="4"/>
  <c r="AF15" i="4"/>
  <c r="AF46" i="4"/>
  <c r="AF91" i="4"/>
  <c r="AF29" i="4"/>
  <c r="AF60" i="4"/>
  <c r="AF33" i="4"/>
  <c r="AF64" i="4"/>
  <c r="AF80" i="4"/>
  <c r="AF49" i="4"/>
  <c r="AF18" i="4"/>
  <c r="AF86" i="4"/>
  <c r="AF55" i="4"/>
  <c r="AF24" i="4"/>
  <c r="AC55" i="4"/>
  <c r="AC28" i="4"/>
  <c r="AC25" i="4"/>
  <c r="AF94" i="4"/>
  <c r="AF63" i="4"/>
  <c r="AF32" i="4"/>
  <c r="AF92" i="4"/>
  <c r="AF61" i="4"/>
  <c r="AF30" i="4"/>
  <c r="AF88" i="4"/>
  <c r="AF57" i="4"/>
  <c r="AF26" i="4"/>
  <c r="AF83" i="4"/>
  <c r="AF21" i="4"/>
  <c r="AF52" i="4"/>
  <c r="AF93" i="4"/>
  <c r="AF31" i="4"/>
  <c r="AF62" i="4"/>
  <c r="AF78" i="4"/>
  <c r="AF47" i="4"/>
  <c r="AF16" i="4"/>
  <c r="AC24" i="4"/>
  <c r="AC47" i="4"/>
  <c r="AC29" i="4"/>
  <c r="AF89" i="4"/>
  <c r="AF27" i="4"/>
  <c r="AF58" i="4"/>
  <c r="AG90" i="4"/>
  <c r="AG28" i="4"/>
  <c r="AG59" i="4"/>
  <c r="AF96" i="4"/>
  <c r="AF65" i="4"/>
  <c r="AF34" i="4"/>
  <c r="AG84" i="4"/>
  <c r="AG53" i="4"/>
  <c r="AG22" i="4"/>
  <c r="V25" i="4"/>
  <c r="AF13" i="4"/>
  <c r="V28" i="4"/>
  <c r="AF82" i="4"/>
  <c r="AF20" i="4"/>
  <c r="AF51" i="4"/>
  <c r="AF90" i="4"/>
  <c r="AF28" i="4"/>
  <c r="AF59" i="4"/>
  <c r="AG94" i="4"/>
  <c r="AG32" i="4"/>
  <c r="AG63" i="4"/>
  <c r="AG92" i="4"/>
  <c r="AG61" i="4"/>
  <c r="AG30" i="4"/>
  <c r="AF76" i="4"/>
  <c r="AF45" i="4"/>
  <c r="AF14" i="4"/>
  <c r="AF79" i="4"/>
  <c r="AF17" i="4"/>
  <c r="AF48" i="4"/>
  <c r="AF81" i="4"/>
  <c r="AF19" i="4"/>
  <c r="AF50" i="4"/>
  <c r="AF85" i="4"/>
  <c r="AF23" i="4"/>
  <c r="AF54" i="4"/>
  <c r="T46" i="4"/>
  <c r="AC45" i="4"/>
  <c r="AF95" i="4"/>
  <c r="AF25" i="4"/>
  <c r="AF56" i="4"/>
  <c r="AC33" i="4"/>
  <c r="AC16" i="4"/>
  <c r="AC50" i="4"/>
  <c r="AC60" i="4"/>
  <c r="AC62" i="4"/>
  <c r="AC96" i="4"/>
  <c r="Z95" i="4"/>
  <c r="V32" i="4"/>
  <c r="U90" i="4"/>
  <c r="V16" i="4"/>
  <c r="U15" i="4"/>
  <c r="U16" i="4" s="1"/>
  <c r="U17" i="4" s="1"/>
  <c r="U93" i="4"/>
  <c r="AC92" i="4"/>
  <c r="U95" i="4"/>
  <c r="U87" i="4"/>
  <c r="V64" i="4"/>
  <c r="T65" i="4"/>
  <c r="V59" i="4"/>
  <c r="T60" i="4"/>
  <c r="V52" i="4"/>
  <c r="T53" i="4"/>
  <c r="X45" i="4"/>
  <c r="V17" i="4"/>
  <c r="S18" i="4"/>
  <c r="Z94" i="4"/>
  <c r="U92" i="4"/>
  <c r="V54" i="4"/>
  <c r="T55" i="4"/>
  <c r="U83" i="4"/>
  <c r="V56" i="4"/>
  <c r="T57" i="4"/>
  <c r="U80" i="4"/>
  <c r="Z86" i="4"/>
  <c r="V65" i="4"/>
  <c r="V53" i="4"/>
  <c r="T54" i="4"/>
  <c r="U82" i="4"/>
  <c r="AC81" i="4"/>
  <c r="U88" i="4"/>
  <c r="Z82" i="4"/>
  <c r="Z87" i="4"/>
  <c r="V47" i="4"/>
  <c r="T48" i="4"/>
  <c r="V61" i="4"/>
  <c r="T62" i="4"/>
  <c r="X61" i="4"/>
  <c r="V50" i="4"/>
  <c r="T51" i="4"/>
  <c r="U96" i="4"/>
  <c r="U91" i="4"/>
  <c r="U84" i="4"/>
  <c r="Z81" i="4"/>
  <c r="Z83" i="4"/>
  <c r="AC79" i="4"/>
  <c r="U85" i="4"/>
  <c r="V60" i="4"/>
  <c r="T61" i="4"/>
  <c r="U89" i="4"/>
  <c r="Z92" i="4"/>
  <c r="V62" i="4"/>
  <c r="T63" i="4"/>
  <c r="V51" i="4"/>
  <c r="T52" i="4"/>
  <c r="AC87" i="4"/>
  <c r="V63" i="4"/>
  <c r="T64" i="4"/>
  <c r="U79" i="4"/>
  <c r="V57" i="4"/>
  <c r="V55" i="4"/>
  <c r="T56" i="4"/>
  <c r="V21" i="4"/>
  <c r="S22" i="4"/>
  <c r="Z78" i="4"/>
  <c r="V48" i="4"/>
  <c r="T49" i="4"/>
  <c r="X54" i="4"/>
  <c r="AC88" i="4"/>
  <c r="X53" i="4"/>
  <c r="X56" i="4"/>
  <c r="X65" i="4"/>
  <c r="X52" i="4"/>
  <c r="AC91" i="4"/>
  <c r="V49" i="4"/>
  <c r="W13" i="4"/>
  <c r="Y21" i="4" l="1"/>
  <c r="AA20" i="4"/>
  <c r="U18" i="4"/>
  <c r="U19" i="4" s="1"/>
  <c r="U20" i="4" s="1"/>
  <c r="U21" i="4" s="1"/>
  <c r="U22" i="4" s="1"/>
  <c r="U23" i="4" s="1"/>
  <c r="U24" i="4" s="1"/>
  <c r="U25" i="4" s="1"/>
  <c r="U26" i="4" s="1"/>
  <c r="U27" i="4" s="1"/>
  <c r="U28" i="4" s="1"/>
  <c r="U29" i="4" s="1"/>
  <c r="U30" i="4" s="1"/>
  <c r="U31" i="4" s="1"/>
  <c r="U32" i="4" s="1"/>
  <c r="U33" i="4" s="1"/>
  <c r="U34" i="4" s="1"/>
  <c r="U35" i="4" s="1"/>
  <c r="W30" i="9"/>
  <c r="U31" i="9"/>
  <c r="W75" i="9"/>
  <c r="Y74" i="9"/>
  <c r="Y69" i="8"/>
  <c r="W70" i="8"/>
  <c r="W29" i="8"/>
  <c r="U30" i="8"/>
  <c r="W14" i="4"/>
  <c r="W15" i="4"/>
  <c r="Y22" i="4" l="1"/>
  <c r="AA21" i="4"/>
  <c r="W31" i="9"/>
  <c r="U32" i="9"/>
  <c r="W76" i="9"/>
  <c r="Y75" i="9"/>
  <c r="Y70" i="8"/>
  <c r="W71" i="8"/>
  <c r="W30" i="8"/>
  <c r="U31" i="8"/>
  <c r="W35" i="4"/>
  <c r="U36" i="4"/>
  <c r="W36" i="4" s="1"/>
  <c r="W16" i="4"/>
  <c r="Y23" i="4" l="1"/>
  <c r="AA22" i="4"/>
  <c r="U33" i="9"/>
  <c r="W32" i="9"/>
  <c r="W77" i="9"/>
  <c r="Y76" i="9"/>
  <c r="U32" i="8"/>
  <c r="W31" i="8"/>
  <c r="Y71" i="8"/>
  <c r="W72" i="8"/>
  <c r="W17" i="4"/>
  <c r="Y24" i="4" l="1"/>
  <c r="AA23" i="4"/>
  <c r="W78" i="9"/>
  <c r="Y77" i="9"/>
  <c r="W33" i="9"/>
  <c r="U34" i="9"/>
  <c r="Y72" i="8"/>
  <c r="W73" i="8"/>
  <c r="W32" i="8"/>
  <c r="U33" i="8"/>
  <c r="W18" i="4"/>
  <c r="Y25" i="4" l="1"/>
  <c r="AA24" i="4"/>
  <c r="W79" i="9"/>
  <c r="Y78" i="9"/>
  <c r="W34" i="9"/>
  <c r="U35" i="9"/>
  <c r="U34" i="8"/>
  <c r="W33" i="8"/>
  <c r="Y73" i="8"/>
  <c r="W74" i="8"/>
  <c r="W19" i="4"/>
  <c r="Y26" i="4" l="1"/>
  <c r="AA25" i="4"/>
  <c r="W35" i="9"/>
  <c r="U36" i="9"/>
  <c r="W36" i="9" s="1"/>
  <c r="W80" i="9"/>
  <c r="Y80" i="9" s="1"/>
  <c r="Y79" i="9"/>
  <c r="W34" i="8"/>
  <c r="U35" i="8"/>
  <c r="Y74" i="8"/>
  <c r="W75" i="8"/>
  <c r="W20" i="4"/>
  <c r="Y27" i="4" l="1"/>
  <c r="AA26" i="4"/>
  <c r="Y75" i="8"/>
  <c r="W76" i="8"/>
  <c r="Y76" i="8" s="1"/>
  <c r="U36" i="8"/>
  <c r="W36" i="8" s="1"/>
  <c r="W35" i="8"/>
  <c r="W21" i="4"/>
  <c r="Y28" i="4" l="1"/>
  <c r="AA27" i="4"/>
  <c r="W22" i="4"/>
  <c r="Y29" i="4" l="1"/>
  <c r="AA28" i="4"/>
  <c r="W23" i="4"/>
  <c r="Y30" i="4" l="1"/>
  <c r="AA29" i="4"/>
  <c r="W24" i="4"/>
  <c r="Y31" i="4" l="1"/>
  <c r="AA30" i="4"/>
  <c r="W25" i="4"/>
  <c r="Y32" i="4" l="1"/>
  <c r="AA31" i="4"/>
  <c r="W26" i="4"/>
  <c r="Y33" i="4" l="1"/>
  <c r="AA32" i="4"/>
  <c r="W27" i="4"/>
  <c r="Y34" i="4" l="1"/>
  <c r="AA33" i="4"/>
  <c r="W28" i="4"/>
  <c r="Y35" i="4" l="1"/>
  <c r="AA34" i="4"/>
  <c r="W29" i="4"/>
  <c r="Y36" i="4" l="1"/>
  <c r="AA36" i="4" s="1"/>
  <c r="AA35" i="4"/>
  <c r="W30" i="4"/>
  <c r="W31" i="4" l="1"/>
  <c r="W32" i="4" l="1"/>
  <c r="W34" i="4" l="1"/>
  <c r="W33" i="4"/>
  <c r="AE75" i="4" l="1"/>
  <c r="J44" i="4"/>
  <c r="O44" i="4" s="1"/>
  <c r="I44" i="4"/>
  <c r="K44" i="4" l="1"/>
  <c r="M44" i="4"/>
  <c r="AG44" i="4"/>
  <c r="AG75" i="4"/>
  <c r="AE44" i="4"/>
  <c r="T75" i="4" l="1"/>
  <c r="X76" i="4" s="1"/>
  <c r="AF75" i="4"/>
  <c r="AF44" i="4"/>
  <c r="S44" i="4"/>
  <c r="V45" i="4" s="1"/>
  <c r="AC75" i="4" l="1"/>
  <c r="T45" i="4"/>
  <c r="AC44" i="4"/>
  <c r="W44" i="4"/>
  <c r="X44" i="4" s="1"/>
  <c r="Y44" i="4" s="1"/>
  <c r="Y75" i="4"/>
  <c r="Z75" i="4"/>
  <c r="U76" i="4"/>
  <c r="Y76" i="4" l="1"/>
  <c r="AA76" i="4" s="1"/>
  <c r="W45" i="4"/>
  <c r="Y45" i="4" s="1"/>
  <c r="AA75" i="4"/>
  <c r="W46" i="4" l="1"/>
  <c r="Y46" i="4" s="1"/>
  <c r="Y77" i="4"/>
  <c r="Y78" i="4" s="1"/>
  <c r="W47" i="4" l="1"/>
  <c r="W48" i="4" s="1"/>
  <c r="AA77" i="4"/>
  <c r="Y79" i="4"/>
  <c r="AA78" i="4"/>
  <c r="Y47" i="4" l="1"/>
  <c r="Y80" i="4"/>
  <c r="AA79" i="4"/>
  <c r="W49" i="4"/>
  <c r="Y48" i="4"/>
  <c r="Y81" i="4" l="1"/>
  <c r="AA80" i="4"/>
  <c r="W50" i="4"/>
  <c r="Y49" i="4"/>
  <c r="Y82" i="4" l="1"/>
  <c r="AA81" i="4"/>
  <c r="W51" i="4"/>
  <c r="Y50" i="4"/>
  <c r="Y83" i="4" l="1"/>
  <c r="AA82" i="4"/>
  <c r="W52" i="4"/>
  <c r="Y51" i="4"/>
  <c r="Y84" i="4" l="1"/>
  <c r="AA83" i="4"/>
  <c r="W53" i="4"/>
  <c r="Y52" i="4"/>
  <c r="Y85" i="4" l="1"/>
  <c r="AA84" i="4"/>
  <c r="W54" i="4"/>
  <c r="Y53" i="4"/>
  <c r="Y86" i="4" l="1"/>
  <c r="AA85" i="4"/>
  <c r="W55" i="4"/>
  <c r="Y54" i="4"/>
  <c r="Y87" i="4" l="1"/>
  <c r="AA86" i="4"/>
  <c r="W56" i="4"/>
  <c r="Y55" i="4"/>
  <c r="Y88" i="4" l="1"/>
  <c r="AA87" i="4"/>
  <c r="W57" i="4"/>
  <c r="Y56" i="4"/>
  <c r="Y89" i="4" l="1"/>
  <c r="AA88" i="4"/>
  <c r="W58" i="4"/>
  <c r="Y57" i="4"/>
  <c r="Y90" i="4" l="1"/>
  <c r="AA89" i="4"/>
  <c r="W59" i="4"/>
  <c r="Y58" i="4"/>
  <c r="Y91" i="4" l="1"/>
  <c r="AA90" i="4"/>
  <c r="Y59" i="4"/>
  <c r="W60" i="4"/>
  <c r="Y92" i="4" l="1"/>
  <c r="AA91" i="4"/>
  <c r="W61" i="4"/>
  <c r="Y60" i="4"/>
  <c r="Y93" i="4" l="1"/>
  <c r="AA92" i="4"/>
  <c r="Y61" i="4"/>
  <c r="W62" i="4"/>
  <c r="Y94" i="4" l="1"/>
  <c r="AA93" i="4"/>
  <c r="W63" i="4"/>
  <c r="Y62" i="4"/>
  <c r="Y95" i="4" l="1"/>
  <c r="AA94" i="4"/>
  <c r="W64" i="4"/>
  <c r="Y63" i="4"/>
  <c r="Y96" i="4" l="1"/>
  <c r="AA95" i="4"/>
  <c r="W65" i="4"/>
  <c r="Y64" i="4"/>
  <c r="Y65" i="4" l="1"/>
  <c r="W66" i="4"/>
  <c r="AA96" i="4"/>
  <c r="Y97" i="4"/>
  <c r="Y66" i="4" l="1"/>
  <c r="W67" i="4"/>
  <c r="Y67" i="4" s="1"/>
  <c r="AA97" i="4"/>
  <c r="Y98" i="4"/>
  <c r="AA98" i="4" s="1"/>
</calcChain>
</file>

<file path=xl/sharedStrings.xml><?xml version="1.0" encoding="utf-8"?>
<sst xmlns="http://schemas.openxmlformats.org/spreadsheetml/2006/main" count="419" uniqueCount="127">
  <si>
    <t>d1</t>
  </si>
  <si>
    <t>N(d1)</t>
  </si>
  <si>
    <t>d2</t>
  </si>
  <si>
    <t>N(d2)</t>
  </si>
  <si>
    <t>Delta</t>
  </si>
  <si>
    <t>Vega</t>
  </si>
  <si>
    <t>Rho</t>
  </si>
  <si>
    <t>Gamma</t>
  </si>
  <si>
    <t>N(-d1)</t>
  </si>
  <si>
    <t>N(-d2)</t>
  </si>
  <si>
    <t>Date</t>
  </si>
  <si>
    <t>IVM</t>
  </si>
  <si>
    <t>K</t>
  </si>
  <si>
    <t>Price (Avg(mid,ask))</t>
  </si>
  <si>
    <t>Stock Price</t>
  </si>
  <si>
    <t>T</t>
  </si>
  <si>
    <t>Call</t>
  </si>
  <si>
    <t>dt</t>
  </si>
  <si>
    <t>gamma</t>
  </si>
  <si>
    <t>theta</t>
  </si>
  <si>
    <t>q</t>
  </si>
  <si>
    <t>r</t>
  </si>
  <si>
    <t>CALL</t>
  </si>
  <si>
    <t>Positon</t>
  </si>
  <si>
    <t>DIV</t>
  </si>
  <si>
    <t xml:space="preserve">Cash </t>
  </si>
  <si>
    <t>Change in undelying</t>
  </si>
  <si>
    <t>P/L</t>
  </si>
  <si>
    <t>Portfolio Value</t>
  </si>
  <si>
    <t>Delta Netural</t>
  </si>
  <si>
    <t>Underlying (short)</t>
  </si>
  <si>
    <t>with SP500 mini future (underlying)</t>
  </si>
  <si>
    <t xml:space="preserve">put </t>
  </si>
  <si>
    <t>put</t>
  </si>
  <si>
    <t>Underlying</t>
  </si>
  <si>
    <t>PUT(short)</t>
  </si>
  <si>
    <t>Underlying(Short)</t>
  </si>
  <si>
    <t>Change of put</t>
  </si>
  <si>
    <t>change of undelying</t>
  </si>
  <si>
    <t>cash</t>
  </si>
  <si>
    <t>Portfolio value</t>
  </si>
  <si>
    <t>Position</t>
  </si>
  <si>
    <t>with SP500 mini future (underlying) and vanila put option with same strike</t>
  </si>
  <si>
    <t>PUT2</t>
  </si>
  <si>
    <t>PUT1</t>
  </si>
  <si>
    <t xml:space="preserve">with </t>
  </si>
  <si>
    <t xml:space="preserve">SP500 mini future (underlying) </t>
  </si>
  <si>
    <t>vanila put option 1 with same strike</t>
  </si>
  <si>
    <t>Theta</t>
  </si>
  <si>
    <t>Change of put1</t>
  </si>
  <si>
    <t>Change of put2</t>
  </si>
  <si>
    <t>Expire date:</t>
  </si>
  <si>
    <t>Detla and Gamma Netural</t>
  </si>
  <si>
    <t>Delta and Gamma and Vega Netural</t>
  </si>
  <si>
    <t>Greek exporsure</t>
  </si>
  <si>
    <t>Security</t>
  </si>
  <si>
    <t>Last price</t>
  </si>
  <si>
    <t xml:space="preserve">SCM0 Index                                                      </t>
  </si>
  <si>
    <t xml:space="preserve">SCJ0C 2860 Index                                                </t>
  </si>
  <si>
    <t> out-of-the-money, E-mini S&amp;P 500 call option. </t>
  </si>
  <si>
    <t>E-mini S&amp;P 500 futures contract (ES).</t>
  </si>
  <si>
    <t xml:space="preserve">SCJ0P 2600 Index                                                </t>
  </si>
  <si>
    <t xml:space="preserve">SCJ0P 2950 Index                                                </t>
  </si>
  <si>
    <t>Out of the money put</t>
  </si>
  <si>
    <t>in the money put</t>
  </si>
  <si>
    <t xml:space="preserve">vilina in the money vanila put option </t>
  </si>
  <si>
    <t xml:space="preserve">SCJ0P 2700 Index                                                </t>
  </si>
  <si>
    <t>out-of-the-money, E-mini S&amp;P 500 call option. </t>
  </si>
  <si>
    <t> almost at-the-money, E-mini S&amp;P 500 put option. </t>
  </si>
  <si>
    <t> in-the-money, E-mini S&amp;P 500 put option. </t>
  </si>
  <si>
    <t>In the money put</t>
  </si>
  <si>
    <t>at the money put</t>
  </si>
  <si>
    <t>P/L (In)</t>
  </si>
  <si>
    <t>Vega(out)</t>
  </si>
  <si>
    <t>Theta(out)</t>
  </si>
  <si>
    <t>Vega(In)</t>
  </si>
  <si>
    <t>Theta(In)</t>
  </si>
  <si>
    <t>Rho(out)</t>
  </si>
  <si>
    <t>Rho(in)</t>
  </si>
  <si>
    <t>S0</t>
  </si>
  <si>
    <t>P0</t>
  </si>
  <si>
    <t>C0</t>
  </si>
  <si>
    <t>K(strike of put)</t>
  </si>
  <si>
    <t>K1(strike of call)</t>
  </si>
  <si>
    <t>sigma</t>
  </si>
  <si>
    <t>mu</t>
  </si>
  <si>
    <t>M</t>
  </si>
  <si>
    <t>N</t>
  </si>
  <si>
    <t>Long 1 share of call option, use SP500 mini futures and put option to hedge</t>
  </si>
  <si>
    <t>' Inputs are S0 = initial stock price</t>
  </si>
  <si>
    <t>'            K = strike price</t>
  </si>
  <si>
    <t>'            r = risk-free rate</t>
  </si>
  <si>
    <t>'            sigma = volatility</t>
  </si>
  <si>
    <t>'            q = dividend yield</t>
  </si>
  <si>
    <t>'            T = time to maturity</t>
  </si>
  <si>
    <t>'            mu = expected rate of return</t>
  </si>
  <si>
    <t>'            N = number of time periods</t>
  </si>
  <si>
    <t>'            M = number of simulations</t>
  </si>
  <si>
    <t>Underlying：</t>
  </si>
  <si>
    <t>10 yt gov rate</t>
  </si>
  <si>
    <t>Expire date</t>
  </si>
  <si>
    <t>in the money PUT option</t>
  </si>
  <si>
    <t>Almost at the money option</t>
  </si>
  <si>
    <t>Out of money put option</t>
  </si>
  <si>
    <t> OUt-of-the-money, E-mini S&amp;P 500 put option. </t>
  </si>
  <si>
    <t>profit</t>
  </si>
  <si>
    <t>portfolio value</t>
  </si>
  <si>
    <t>Profit</t>
  </si>
  <si>
    <t>cash position</t>
  </si>
  <si>
    <t>b(shares of put)</t>
  </si>
  <si>
    <t>a(shares of HSI)</t>
  </si>
  <si>
    <t>Gamma_put</t>
  </si>
  <si>
    <t>Gamma_bull</t>
  </si>
  <si>
    <t>Delta_put</t>
  </si>
  <si>
    <t>Delta_Bull</t>
  </si>
  <si>
    <t>period</t>
  </si>
  <si>
    <t>put price</t>
  </si>
  <si>
    <t>imp volatility(%)</t>
  </si>
  <si>
    <t>HSI last price</t>
  </si>
  <si>
    <t>bull price</t>
  </si>
  <si>
    <t>Delta hedge</t>
  </si>
  <si>
    <t>Gamma hedge</t>
  </si>
  <si>
    <t>use HSI future and stadard put to hedge short callable bull position(down and out call)</t>
  </si>
  <si>
    <t>div</t>
  </si>
  <si>
    <t>comp</t>
  </si>
  <si>
    <t>K1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</si>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</sst>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00"/>
    <numFmt numFmtId="165" formatCode="0.000000000"/>
    <numFmt numFmtId="166" formatCode="0.000%"/>
    <numFmt numFmtId="167" formatCode="0.000000"/>
    <numFmt numFmtId="168" formatCode="0.0%"/>
  </numFmts>
  <fonts count="10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666666"/>
      <name val="Helvetica"/>
      <family val="2"/>
    </font>
    <font>
      <sz val="12"/>
      <color rgb="FF9C5700"/>
      <name val="Calibri"/>
      <family val="2"/>
      <scheme val="minor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FF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9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8" fillId="11" borderId="0" applyNumberFormat="0" applyBorder="0" applyAlignment="0" applyProtection="0"/>
    <xf numFmtId="0" fontId="3" fillId="0" borderId="0"/>
    <xf numFmtId="9" fontId="3" fillId="0" borderId="0" applyFont="0" applyFill="0" applyBorder="0" applyAlignment="0" applyProtection="0"/>
  </cellStyleXfs>
  <cellXfs count="50">
    <xf numFmtId="0" fontId="0" fillId="0" borderId="0" xfId="0"/>
    <xf numFmtId="4" fontId="0" fillId="0" borderId="0" xfId="0" applyNumberFormat="1"/>
    <xf numFmtId="0" fontId="4" fillId="0" borderId="0" xfId="0" applyFont="1"/>
    <xf numFmtId="0" fontId="5" fillId="0" borderId="0" xfId="0" applyFont="1"/>
    <xf numFmtId="164" fontId="4" fillId="0" borderId="0" xfId="0" applyNumberFormat="1" applyFont="1"/>
    <xf numFmtId="14" fontId="0" fillId="0" borderId="0" xfId="0" applyNumberFormat="1"/>
    <xf numFmtId="10" fontId="0" fillId="0" borderId="0" xfId="0" applyNumberFormat="1"/>
    <xf numFmtId="0" fontId="6" fillId="0" borderId="0" xfId="0" applyFont="1"/>
    <xf numFmtId="0" fontId="1" fillId="2" borderId="0" xfId="1" applyAlignment="1">
      <alignment horizontal="center" vertical="center"/>
    </xf>
    <xf numFmtId="0" fontId="1" fillId="3" borderId="0" xfId="1" applyFill="1" applyAlignment="1">
      <alignment horizontal="center" vertical="center"/>
    </xf>
    <xf numFmtId="0" fontId="1" fillId="2" borderId="0" xfId="1" applyAlignment="1">
      <alignment horizontal="center" vertical="center"/>
    </xf>
    <xf numFmtId="0" fontId="1" fillId="4" borderId="0" xfId="4"/>
    <xf numFmtId="0" fontId="1" fillId="3" borderId="0" xfId="4" applyFill="1"/>
    <xf numFmtId="0" fontId="1" fillId="2" borderId="0" xfId="1" applyAlignment="1">
      <alignment horizontal="center" vertical="center"/>
    </xf>
    <xf numFmtId="0" fontId="1" fillId="5" borderId="0" xfId="5"/>
    <xf numFmtId="0" fontId="1" fillId="3" borderId="0" xfId="5" applyFill="1"/>
    <xf numFmtId="0" fontId="7" fillId="0" borderId="0" xfId="0" applyFont="1"/>
    <xf numFmtId="165" fontId="0" fillId="0" borderId="0" xfId="0" applyNumberFormat="1"/>
    <xf numFmtId="0" fontId="5" fillId="7" borderId="0" xfId="0" applyFont="1" applyFill="1"/>
    <xf numFmtId="0" fontId="5" fillId="6" borderId="0" xfId="0" applyFont="1" applyFill="1"/>
    <xf numFmtId="0" fontId="0" fillId="8" borderId="0" xfId="0" applyFill="1"/>
    <xf numFmtId="0" fontId="4" fillId="8" borderId="0" xfId="0" applyFont="1" applyFill="1"/>
    <xf numFmtId="0" fontId="7" fillId="8" borderId="0" xfId="0" applyFont="1" applyFill="1"/>
    <xf numFmtId="0" fontId="0" fillId="9" borderId="0" xfId="0" applyFill="1"/>
    <xf numFmtId="0" fontId="7" fillId="9" borderId="0" xfId="0" applyFont="1" applyFill="1"/>
    <xf numFmtId="0" fontId="4" fillId="9" borderId="0" xfId="0" applyFont="1" applyFill="1"/>
    <xf numFmtId="164" fontId="4" fillId="9" borderId="0" xfId="0" applyNumberFormat="1" applyFont="1" applyFill="1"/>
    <xf numFmtId="0" fontId="5" fillId="9" borderId="0" xfId="0" applyFont="1" applyFill="1"/>
    <xf numFmtId="0" fontId="0" fillId="10" borderId="0" xfId="0" applyFill="1"/>
    <xf numFmtId="0" fontId="4" fillId="10" borderId="0" xfId="0" applyFont="1" applyFill="1"/>
    <xf numFmtId="0" fontId="5" fillId="10" borderId="0" xfId="0" applyFont="1" applyFill="1"/>
    <xf numFmtId="0" fontId="8" fillId="11" borderId="0" xfId="6"/>
    <xf numFmtId="4" fontId="8" fillId="11" borderId="0" xfId="6" applyNumberFormat="1"/>
    <xf numFmtId="10" fontId="8" fillId="11" borderId="0" xfId="6" applyNumberFormat="1"/>
    <xf numFmtId="2" fontId="8" fillId="11" borderId="0" xfId="6" applyNumberFormat="1"/>
    <xf numFmtId="0" fontId="3" fillId="0" borderId="0" xfId="7"/>
    <xf numFmtId="3" fontId="3" fillId="0" borderId="0" xfId="7" applyNumberFormat="1"/>
    <xf numFmtId="14" fontId="3" fillId="0" borderId="0" xfId="7" applyNumberFormat="1"/>
    <xf numFmtId="166" fontId="0" fillId="0" borderId="0" xfId="8" applyNumberFormat="1" applyFont="1"/>
    <xf numFmtId="167" fontId="3" fillId="0" borderId="0" xfId="7" applyNumberFormat="1"/>
    <xf numFmtId="2" fontId="0" fillId="0" borderId="0" xfId="8" applyNumberFormat="1" applyFont="1"/>
    <xf numFmtId="4" fontId="3" fillId="0" borderId="0" xfId="7" applyNumberFormat="1"/>
    <xf numFmtId="0" fontId="3" fillId="3" borderId="0" xfId="7" applyFill="1"/>
    <xf numFmtId="168" fontId="3" fillId="0" borderId="0" xfId="7" applyNumberFormat="1"/>
    <xf numFmtId="10" fontId="3" fillId="0" borderId="0" xfId="7" applyNumberFormat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1" fillId="5" borderId="0" xfId="5" applyAlignment="1">
      <alignment horizontal="center"/>
    </xf>
    <xf numFmtId="0" fontId="1" fillId="2" borderId="0" xfId="1" applyAlignment="1">
      <alignment horizontal="center" vertical="center"/>
    </xf>
    <xf numFmtId="0" fontId="1" fillId="4" borderId="0" xfId="4" applyAlignment="1">
      <alignment horizontal="center"/>
    </xf>
  </cellXfs>
  <cellStyles count="9">
    <cellStyle name="20% - Accent4" xfId="1" builtinId="42"/>
    <cellStyle name="40% - Accent4" xfId="4" builtinId="43"/>
    <cellStyle name="60% - Accent4" xfId="5" builtinId="44"/>
    <cellStyle name="Comma 2" xfId="3" xr:uid="{2FF11C17-A86C-BB41-A72F-EB797EF267C5}"/>
    <cellStyle name="Neutral" xfId="6" builtinId="28"/>
    <cellStyle name="Normal" xfId="0" builtinId="0"/>
    <cellStyle name="Normal 2" xfId="7" xr:uid="{D55DF121-9CC2-4D4D-BD5B-142419B2246A}"/>
    <cellStyle name="Per cent 2" xfId="8" xr:uid="{2CCECF33-9FE9-B44B-ACCA-D3BA25EFE0D2}"/>
    <cellStyle name="Percent 2" xfId="2" xr:uid="{3C00C9B0-0823-2A45-8FE5-6061EEBADFF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Gree</a:t>
            </a:r>
            <a:r>
              <a:rPr lang="en-US" altLang="zh-CN" baseline="0"/>
              <a:t>k</a:t>
            </a:r>
            <a:r>
              <a:rPr lang="zh-CN" altLang="en-US" baseline="0"/>
              <a:t> </a:t>
            </a:r>
            <a:r>
              <a:rPr lang="en-US" altLang="zh-CN" baseline="0"/>
              <a:t>with</a:t>
            </a:r>
            <a:r>
              <a:rPr lang="zh-CN" altLang="en-US" baseline="0"/>
              <a:t> </a:t>
            </a:r>
            <a:r>
              <a:rPr lang="en-US" altLang="zh-CN" baseline="0"/>
              <a:t>Delta</a:t>
            </a:r>
            <a:r>
              <a:rPr lang="zh-CN" altLang="en-US" baseline="0"/>
              <a:t> </a:t>
            </a:r>
            <a:r>
              <a:rPr lang="en-US" altLang="zh-CN" baseline="0"/>
              <a:t>heage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'Delta Gamma Vega heage'!$AC$12</c:f>
              <c:strCache>
                <c:ptCount val="1"/>
                <c:pt idx="0">
                  <c:v>Delta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'Delta Gamma Vega heage'!$AC$13:$AC$36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EF-264D-8A24-0B920D03949C}"/>
            </c:ext>
          </c:extLst>
        </c:ser>
        <c:ser>
          <c:idx val="1"/>
          <c:order val="1"/>
          <c:tx>
            <c:strRef>
              <c:f>'Delta Gamma Vega heage'!$AD$12</c:f>
              <c:strCache>
                <c:ptCount val="1"/>
                <c:pt idx="0">
                  <c:v>Gamma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'Delta Gamma Vega heage'!$AD$13:$AD$36</c:f>
              <c:numCache>
                <c:formatCode>General</c:formatCode>
                <c:ptCount val="24"/>
                <c:pt idx="0">
                  <c:v>7.6690882900628133E-4</c:v>
                </c:pt>
                <c:pt idx="1">
                  <c:v>7.7293719145989103E-4</c:v>
                </c:pt>
                <c:pt idx="2">
                  <c:v>7.7398111475909153E-4</c:v>
                </c:pt>
                <c:pt idx="3">
                  <c:v>6.1781884915821912E-4</c:v>
                </c:pt>
                <c:pt idx="4">
                  <c:v>7.4893371120399871E-4</c:v>
                </c:pt>
                <c:pt idx="5">
                  <c:v>5.7870664797547852E-4</c:v>
                </c:pt>
                <c:pt idx="6">
                  <c:v>6.319162378776367E-4</c:v>
                </c:pt>
                <c:pt idx="7">
                  <c:v>5.9642861780696734E-4</c:v>
                </c:pt>
                <c:pt idx="8">
                  <c:v>6.0487366982676807E-4</c:v>
                </c:pt>
                <c:pt idx="9">
                  <c:v>4.1654549333600301E-4</c:v>
                </c:pt>
                <c:pt idx="10">
                  <c:v>2.7395587824458257E-4</c:v>
                </c:pt>
                <c:pt idx="11">
                  <c:v>6.6215787025508503E-4</c:v>
                </c:pt>
                <c:pt idx="12">
                  <c:v>6.9789203121879153E-4</c:v>
                </c:pt>
                <c:pt idx="13">
                  <c:v>8.3141401666108662E-4</c:v>
                </c:pt>
                <c:pt idx="14">
                  <c:v>7.5842628742735219E-4</c:v>
                </c:pt>
                <c:pt idx="15">
                  <c:v>8.9724494889414517E-4</c:v>
                </c:pt>
                <c:pt idx="16">
                  <c:v>8.9269866724846323E-4</c:v>
                </c:pt>
                <c:pt idx="17">
                  <c:v>6.4602937206076794E-4</c:v>
                </c:pt>
                <c:pt idx="18">
                  <c:v>7.8011982590221252E-4</c:v>
                </c:pt>
                <c:pt idx="19">
                  <c:v>6.1626562290379935E-4</c:v>
                </c:pt>
                <c:pt idx="20">
                  <c:v>1.108040545744519E-3</c:v>
                </c:pt>
                <c:pt idx="21">
                  <c:v>1.0827374066915581E-3</c:v>
                </c:pt>
                <c:pt idx="22">
                  <c:v>1.2440412776622784E-3</c:v>
                </c:pt>
                <c:pt idx="23">
                  <c:v>1.2844472136208532E-3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EF-264D-8A24-0B920D03949C}"/>
            </c:ext>
          </c:extLst>
        </c:ser>
        <c:ser>
          <c:idx val="2"/>
          <c:order val="2"/>
          <c:tx>
            <c:strRef>
              <c:f>'Delta Gamma Vega heage'!$AE$12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'Delta Gamma Vega heage'!$AE$13:$AE$36</c:f>
              <c:numCache>
                <c:formatCode>General</c:formatCode>
                <c:ptCount val="24"/>
                <c:pt idx="0">
                  <c:v>405.4865714673237</c:v>
                </c:pt>
                <c:pt idx="1">
                  <c:v>423.34373399748483</c:v>
                </c:pt>
                <c:pt idx="2">
                  <c:v>395.77345677156399</c:v>
                </c:pt>
                <c:pt idx="3">
                  <c:v>300.24960970395995</c:v>
                </c:pt>
                <c:pt idx="4">
                  <c:v>375.57219296704795</c:v>
                </c:pt>
                <c:pt idx="5">
                  <c:v>275.34860376022345</c:v>
                </c:pt>
                <c:pt idx="6">
                  <c:v>296.56894656938215</c:v>
                </c:pt>
                <c:pt idx="7">
                  <c:v>254.6872283312735</c:v>
                </c:pt>
                <c:pt idx="8">
                  <c:v>221.11743508623221</c:v>
                </c:pt>
                <c:pt idx="9">
                  <c:v>108.77518741297303</c:v>
                </c:pt>
                <c:pt idx="10">
                  <c:v>60.739371578536669</c:v>
                </c:pt>
                <c:pt idx="11">
                  <c:v>193.60051165061452</c:v>
                </c:pt>
                <c:pt idx="12">
                  <c:v>218.23259886236633</c:v>
                </c:pt>
                <c:pt idx="13">
                  <c:v>284.11036225584746</c:v>
                </c:pt>
                <c:pt idx="14">
                  <c:v>241.7518112720625</c:v>
                </c:pt>
                <c:pt idx="15">
                  <c:v>258.23132652704123</c:v>
                </c:pt>
                <c:pt idx="16">
                  <c:v>215.09157287420354</c:v>
                </c:pt>
                <c:pt idx="17">
                  <c:v>139.08750192715434</c:v>
                </c:pt>
                <c:pt idx="18">
                  <c:v>157.78977972262615</c:v>
                </c:pt>
                <c:pt idx="19">
                  <c:v>102.4326558411889</c:v>
                </c:pt>
                <c:pt idx="20">
                  <c:v>213.65328510759176</c:v>
                </c:pt>
                <c:pt idx="21">
                  <c:v>212.17221530600605</c:v>
                </c:pt>
                <c:pt idx="22">
                  <c:v>250.56882906673627</c:v>
                </c:pt>
                <c:pt idx="23">
                  <c:v>259.56657318315501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EF-264D-8A24-0B920D03949C}"/>
            </c:ext>
          </c:extLst>
        </c:ser>
        <c:ser>
          <c:idx val="3"/>
          <c:order val="3"/>
          <c:tx>
            <c:strRef>
              <c:f>'Delta Gamma Vega heage'!$AF$12</c:f>
              <c:strCache>
                <c:ptCount val="1"/>
                <c:pt idx="0">
                  <c:v>Theta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'Delta Gamma Vega heage'!$AF$13:$AF$36</c:f>
              <c:numCache>
                <c:formatCode>General</c:formatCode>
                <c:ptCount val="24"/>
                <c:pt idx="0">
                  <c:v>-685.36911718110741</c:v>
                </c:pt>
                <c:pt idx="1">
                  <c:v>-703.02404013961518</c:v>
                </c:pt>
                <c:pt idx="2">
                  <c:v>-703.82603344130541</c:v>
                </c:pt>
                <c:pt idx="3">
                  <c:v>-659.47232892418708</c:v>
                </c:pt>
                <c:pt idx="4">
                  <c:v>-737.31099445742814</c:v>
                </c:pt>
                <c:pt idx="5">
                  <c:v>-734.00761952451205</c:v>
                </c:pt>
                <c:pt idx="6">
                  <c:v>-762.63764045893424</c:v>
                </c:pt>
                <c:pt idx="7">
                  <c:v>-669.56824691430165</c:v>
                </c:pt>
                <c:pt idx="8">
                  <c:v>-527.00058628498937</c:v>
                </c:pt>
                <c:pt idx="9">
                  <c:v>-212.02661516102981</c:v>
                </c:pt>
                <c:pt idx="10">
                  <c:v>-124.53355063032429</c:v>
                </c:pt>
                <c:pt idx="11">
                  <c:v>-456.51613424088634</c:v>
                </c:pt>
                <c:pt idx="12">
                  <c:v>-567.84846144304913</c:v>
                </c:pt>
                <c:pt idx="13">
                  <c:v>-762.4497058426241</c:v>
                </c:pt>
                <c:pt idx="14">
                  <c:v>-686.52072728474639</c:v>
                </c:pt>
                <c:pt idx="15">
                  <c:v>-742.87565038319929</c:v>
                </c:pt>
                <c:pt idx="16">
                  <c:v>-571.54871756031082</c:v>
                </c:pt>
                <c:pt idx="17">
                  <c:v>-390.79387736078928</c:v>
                </c:pt>
                <c:pt idx="18">
                  <c:v>-422.12982411802165</c:v>
                </c:pt>
                <c:pt idx="19">
                  <c:v>-248.98255514018643</c:v>
                </c:pt>
                <c:pt idx="20">
                  <c:v>-670.30624582116309</c:v>
                </c:pt>
                <c:pt idx="21">
                  <c:v>-738.77669544091168</c:v>
                </c:pt>
                <c:pt idx="22">
                  <c:v>-912.03794089536234</c:v>
                </c:pt>
                <c:pt idx="23">
                  <c:v>-1005.9264847902158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CEF-264D-8A24-0B920D03949C}"/>
            </c:ext>
          </c:extLst>
        </c:ser>
        <c:ser>
          <c:idx val="4"/>
          <c:order val="4"/>
          <c:tx>
            <c:strRef>
              <c:f>'Delta Gamma Vega heage'!$AG$12</c:f>
              <c:strCache>
                <c:ptCount val="1"/>
                <c:pt idx="0">
                  <c:v>Rho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'Delta Gamma Vega heage'!$AG$13:$AG$36</c:f>
              <c:numCache>
                <c:formatCode>General</c:formatCode>
                <c:ptCount val="24"/>
                <c:pt idx="0">
                  <c:v>148.70531581353907</c:v>
                </c:pt>
                <c:pt idx="1">
                  <c:v>181.11007781801899</c:v>
                </c:pt>
                <c:pt idx="2">
                  <c:v>140.7199519847907</c:v>
                </c:pt>
                <c:pt idx="3">
                  <c:v>79.708841154628303</c:v>
                </c:pt>
                <c:pt idx="4">
                  <c:v>123.98831083258077</c:v>
                </c:pt>
                <c:pt idx="5">
                  <c:v>68.036454288696518</c:v>
                </c:pt>
                <c:pt idx="6">
                  <c:v>76.898854315169373</c:v>
                </c:pt>
                <c:pt idx="7">
                  <c:v>59.481312832331696</c:v>
                </c:pt>
                <c:pt idx="8">
                  <c:v>47.645370653467651</c:v>
                </c:pt>
                <c:pt idx="9">
                  <c:v>18.091257392039306</c:v>
                </c:pt>
                <c:pt idx="10">
                  <c:v>8.569061893669927</c:v>
                </c:pt>
                <c:pt idx="11">
                  <c:v>37.912701470898767</c:v>
                </c:pt>
                <c:pt idx="12">
                  <c:v>44.978582548685566</c:v>
                </c:pt>
                <c:pt idx="13">
                  <c:v>69.73482788510097</c:v>
                </c:pt>
                <c:pt idx="14">
                  <c:v>52.279117446140852</c:v>
                </c:pt>
                <c:pt idx="15">
                  <c:v>57.88237127169247</c:v>
                </c:pt>
                <c:pt idx="16">
                  <c:v>42.250421460935762</c:v>
                </c:pt>
                <c:pt idx="17">
                  <c:v>22.175397134100166</c:v>
                </c:pt>
                <c:pt idx="18">
                  <c:v>26.142895830115531</c:v>
                </c:pt>
                <c:pt idx="19">
                  <c:v>14.425307537367715</c:v>
                </c:pt>
                <c:pt idx="20">
                  <c:v>40.196503852007105</c:v>
                </c:pt>
                <c:pt idx="21">
                  <c:v>39.48895848209051</c:v>
                </c:pt>
                <c:pt idx="22">
                  <c:v>54.862972615250548</c:v>
                </c:pt>
                <c:pt idx="23">
                  <c:v>61.277449094956204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CEF-264D-8A24-0B920D039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759807"/>
        <c:axId val="930029599"/>
      </c:lineChart>
      <c:catAx>
        <c:axId val="8937598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29599"/>
        <c:crosses val="autoZero"/>
        <c:auto val="1"/>
        <c:lblAlgn val="ctr"/>
        <c:lblOffset val="100"/>
        <c:noMultiLvlLbl val="0"/>
      </c:catAx>
      <c:valAx>
        <c:axId val="930029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3759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  <a:r>
              <a:rPr lang="zh-CN" altLang="en-US"/>
              <a:t> </a:t>
            </a:r>
            <a:r>
              <a:rPr lang="en-US" altLang="zh-CN"/>
              <a:t>with</a:t>
            </a:r>
            <a:r>
              <a:rPr lang="zh-CN" altLang="en-US"/>
              <a:t> </a:t>
            </a:r>
            <a:r>
              <a:rPr lang="en-US" altLang="zh-CN"/>
              <a:t>Delta</a:t>
            </a:r>
            <a:r>
              <a:rPr lang="zh-CN" altLang="en-US"/>
              <a:t> </a:t>
            </a:r>
            <a:r>
              <a:rPr lang="en-US" altLang="zh-CN"/>
              <a:t>heage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'Delta Gamma Vega heage'!$W$12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'Delta Gamma Vega heage'!$W$13:$W$36</c:f>
              <c:numCache>
                <c:formatCode>General</c:formatCode>
                <c:ptCount val="24"/>
                <c:pt idx="0">
                  <c:v>0</c:v>
                </c:pt>
                <c:pt idx="1">
                  <c:v>-4.4589873942850318</c:v>
                </c:pt>
                <c:pt idx="2">
                  <c:v>7.67845543468502</c:v>
                </c:pt>
                <c:pt idx="3">
                  <c:v>61.100307367413052</c:v>
                </c:pt>
                <c:pt idx="4">
                  <c:v>40.673426893022224</c:v>
                </c:pt>
                <c:pt idx="5">
                  <c:v>105.7132291289264</c:v>
                </c:pt>
                <c:pt idx="6">
                  <c:v>92.553749303339032</c:v>
                </c:pt>
                <c:pt idx="7">
                  <c:v>95.918522947650899</c:v>
                </c:pt>
                <c:pt idx="8">
                  <c:v>85.617399896251584</c:v>
                </c:pt>
                <c:pt idx="9">
                  <c:v>89.64637897823124</c:v>
                </c:pt>
                <c:pt idx="10">
                  <c:v>92.744295936733877</c:v>
                </c:pt>
                <c:pt idx="11">
                  <c:v>104.21046572249145</c:v>
                </c:pt>
                <c:pt idx="12">
                  <c:v>102.61728064392497</c:v>
                </c:pt>
                <c:pt idx="13">
                  <c:v>95.814583387066477</c:v>
                </c:pt>
                <c:pt idx="14">
                  <c:v>102.22504591354664</c:v>
                </c:pt>
                <c:pt idx="15">
                  <c:v>85.298251337388592</c:v>
                </c:pt>
                <c:pt idx="16">
                  <c:v>76.856471097128065</c:v>
                </c:pt>
                <c:pt idx="17">
                  <c:v>94.758893048464188</c:v>
                </c:pt>
                <c:pt idx="18">
                  <c:v>86.681346091373314</c:v>
                </c:pt>
                <c:pt idx="19">
                  <c:v>88.265589420964545</c:v>
                </c:pt>
                <c:pt idx="20">
                  <c:v>88.944872307157084</c:v>
                </c:pt>
                <c:pt idx="21">
                  <c:v>92.532780427179546</c:v>
                </c:pt>
                <c:pt idx="22">
                  <c:v>89.175586764768468</c:v>
                </c:pt>
                <c:pt idx="23">
                  <c:v>89.848150465150411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C-CE4A-A521-8E6033A4A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891759"/>
        <c:axId val="836862623"/>
      </c:lineChart>
      <c:catAx>
        <c:axId val="8368917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862623"/>
        <c:crosses val="autoZero"/>
        <c:auto val="1"/>
        <c:lblAlgn val="ctr"/>
        <c:lblOffset val="100"/>
        <c:noMultiLvlLbl val="0"/>
      </c:catAx>
      <c:valAx>
        <c:axId val="836862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891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 </a:t>
            </a:r>
            <a:r>
              <a:rPr lang="en-GB"/>
              <a:t>P/L</a:t>
            </a:r>
            <a:r>
              <a:rPr lang="zh-CN" altLang="en-US"/>
              <a:t> </a:t>
            </a:r>
            <a:r>
              <a:rPr lang="en-US" altLang="zh-CN"/>
              <a:t>with</a:t>
            </a:r>
            <a:r>
              <a:rPr lang="zh-CN" altLang="en-US"/>
              <a:t> </a:t>
            </a:r>
            <a:r>
              <a:rPr lang="en-US" altLang="zh-CN"/>
              <a:t>Delta</a:t>
            </a:r>
            <a:r>
              <a:rPr lang="zh-CN" altLang="en-US"/>
              <a:t> </a:t>
            </a:r>
            <a:r>
              <a:rPr lang="en-US" altLang="zh-CN"/>
              <a:t>and</a:t>
            </a:r>
            <a:r>
              <a:rPr lang="zh-CN" altLang="en-US"/>
              <a:t> </a:t>
            </a:r>
            <a:r>
              <a:rPr lang="en-US" altLang="zh-CN"/>
              <a:t>Gamma</a:t>
            </a:r>
            <a:r>
              <a:rPr lang="zh-CN" altLang="en-US" baseline="0"/>
              <a:t> </a:t>
            </a:r>
            <a:r>
              <a:rPr lang="en-US" altLang="zh-CN" baseline="0"/>
              <a:t>heage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'Delta Gamma Vega heage'!$Y$43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'Delta Gamma Vega heage'!$Y$44:$Y$67</c:f>
              <c:numCache>
                <c:formatCode>General</c:formatCode>
                <c:ptCount val="24"/>
                <c:pt idx="0">
                  <c:v>0</c:v>
                </c:pt>
                <c:pt idx="1">
                  <c:v>-2.6528928947041095</c:v>
                </c:pt>
                <c:pt idx="2">
                  <c:v>-3.4775025527283105</c:v>
                </c:pt>
                <c:pt idx="3">
                  <c:v>-14.430996431346557</c:v>
                </c:pt>
                <c:pt idx="4">
                  <c:v>-26.867276433319603</c:v>
                </c:pt>
                <c:pt idx="5">
                  <c:v>-30.858708331545131</c:v>
                </c:pt>
                <c:pt idx="6">
                  <c:v>-33.442198111227754</c:v>
                </c:pt>
                <c:pt idx="7">
                  <c:v>-29.784132100591478</c:v>
                </c:pt>
                <c:pt idx="8">
                  <c:v>-20.345365406640667</c:v>
                </c:pt>
                <c:pt idx="9">
                  <c:v>1.8430223284221938</c:v>
                </c:pt>
                <c:pt idx="10">
                  <c:v>6.3283671341126819</c:v>
                </c:pt>
                <c:pt idx="11">
                  <c:v>4.8602297079678465</c:v>
                </c:pt>
                <c:pt idx="12">
                  <c:v>-3.055260753189259</c:v>
                </c:pt>
                <c:pt idx="13">
                  <c:v>-16.045779695053398</c:v>
                </c:pt>
                <c:pt idx="14">
                  <c:v>-13.995630693401608</c:v>
                </c:pt>
                <c:pt idx="15">
                  <c:v>-18.399519605040723</c:v>
                </c:pt>
                <c:pt idx="16">
                  <c:v>-12.182416358039063</c:v>
                </c:pt>
                <c:pt idx="17">
                  <c:v>-0.82253321399412016</c:v>
                </c:pt>
                <c:pt idx="18">
                  <c:v>-3.9799364157663604</c:v>
                </c:pt>
                <c:pt idx="19">
                  <c:v>5.8930930027529485</c:v>
                </c:pt>
                <c:pt idx="20">
                  <c:v>-5.6217170478553271</c:v>
                </c:pt>
                <c:pt idx="21">
                  <c:v>-5.8601209364660463</c:v>
                </c:pt>
                <c:pt idx="22">
                  <c:v>-12.272409756183833</c:v>
                </c:pt>
                <c:pt idx="23">
                  <c:v>-12.351816133153989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00-BE4F-BFF7-B2302735D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307935"/>
        <c:axId val="931162415"/>
      </c:lineChart>
      <c:catAx>
        <c:axId val="8933079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162415"/>
        <c:crosses val="autoZero"/>
        <c:auto val="1"/>
        <c:lblAlgn val="ctr"/>
        <c:lblOffset val="100"/>
        <c:noMultiLvlLbl val="0"/>
      </c:catAx>
      <c:valAx>
        <c:axId val="931162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3307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Greek</a:t>
            </a:r>
            <a:r>
              <a:rPr lang="zh-CN" altLang="en-US" baseline="0"/>
              <a:t> </a:t>
            </a:r>
            <a:r>
              <a:rPr lang="en-US" altLang="zh-CN" baseline="0"/>
              <a:t>with</a:t>
            </a:r>
            <a:r>
              <a:rPr lang="zh-CN" altLang="en-US" baseline="0"/>
              <a:t> </a:t>
            </a:r>
            <a:r>
              <a:rPr lang="en-US" altLang="zh-CN" baseline="0"/>
              <a:t>Delta</a:t>
            </a:r>
            <a:r>
              <a:rPr lang="zh-CN" altLang="en-US" baseline="0"/>
              <a:t> </a:t>
            </a:r>
            <a:r>
              <a:rPr lang="en-US" altLang="zh-CN" baseline="0"/>
              <a:t>and</a:t>
            </a:r>
            <a:r>
              <a:rPr lang="zh-CN" altLang="en-US" baseline="0"/>
              <a:t> </a:t>
            </a:r>
            <a:r>
              <a:rPr lang="en-US" altLang="zh-CN" baseline="0"/>
              <a:t>Gamma</a:t>
            </a:r>
            <a:r>
              <a:rPr lang="zh-CN" altLang="en-US" baseline="0"/>
              <a:t> </a:t>
            </a:r>
            <a:r>
              <a:rPr lang="en-US" altLang="zh-CN" baseline="0"/>
              <a:t>heage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'Delta Gamma Vega heage'!$AC$43</c:f>
              <c:strCache>
                <c:ptCount val="1"/>
                <c:pt idx="0">
                  <c:v>Delta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'Delta Gamma Vega heage'!$AC$44:$AC$67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0C-B64F-A6B3-63B7918BA777}"/>
            </c:ext>
          </c:extLst>
        </c:ser>
        <c:ser>
          <c:idx val="1"/>
          <c:order val="1"/>
          <c:tx>
            <c:strRef>
              <c:f>'Delta Gamma Vega heage'!$AD$43</c:f>
              <c:strCache>
                <c:ptCount val="1"/>
                <c:pt idx="0">
                  <c:v>Gamma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'Delta Gamma Vega heage'!$AD$44:$AD$67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0C-B64F-A6B3-63B7918BA777}"/>
            </c:ext>
          </c:extLst>
        </c:ser>
        <c:ser>
          <c:idx val="2"/>
          <c:order val="2"/>
          <c:tx>
            <c:strRef>
              <c:f>'Delta Gamma Vega heage'!$AE$43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'Delta Gamma Vega heage'!$AE$44:$AE$67</c:f>
              <c:numCache>
                <c:formatCode>General</c:formatCode>
                <c:ptCount val="24"/>
                <c:pt idx="0">
                  <c:v>-0.18242442230291545</c:v>
                </c:pt>
                <c:pt idx="1">
                  <c:v>0.13087179383359171</c:v>
                </c:pt>
                <c:pt idx="2">
                  <c:v>-0.20780333298125697</c:v>
                </c:pt>
                <c:pt idx="3">
                  <c:v>0.12043130501831456</c:v>
                </c:pt>
                <c:pt idx="4">
                  <c:v>-0.29499144807033417</c:v>
                </c:pt>
                <c:pt idx="5">
                  <c:v>5.7117791748169111E-2</c:v>
                </c:pt>
                <c:pt idx="6">
                  <c:v>-0.16160342935017979</c:v>
                </c:pt>
                <c:pt idx="7">
                  <c:v>-0.25411981082845614</c:v>
                </c:pt>
                <c:pt idx="8">
                  <c:v>5.6576360272657666E-2</c:v>
                </c:pt>
                <c:pt idx="9">
                  <c:v>-0.32436322498719505</c:v>
                </c:pt>
                <c:pt idx="10">
                  <c:v>-0.29051126656403881</c:v>
                </c:pt>
                <c:pt idx="11">
                  <c:v>0.15039624192451129</c:v>
                </c:pt>
                <c:pt idx="12">
                  <c:v>-0.15573316508465496</c:v>
                </c:pt>
                <c:pt idx="13">
                  <c:v>1.1063122370160272E-2</c:v>
                </c:pt>
                <c:pt idx="14">
                  <c:v>-8.875504683572899E-2</c:v>
                </c:pt>
                <c:pt idx="15">
                  <c:v>1.4013166123561405E-2</c:v>
                </c:pt>
                <c:pt idx="16">
                  <c:v>-3.4953020067035823E-2</c:v>
                </c:pt>
                <c:pt idx="17">
                  <c:v>-0.12503036028010683</c:v>
                </c:pt>
                <c:pt idx="18">
                  <c:v>-7.6329906763589861E-2</c:v>
                </c:pt>
                <c:pt idx="19">
                  <c:v>-8.4069393873221543E-2</c:v>
                </c:pt>
                <c:pt idx="20">
                  <c:v>0.52983620492798877</c:v>
                </c:pt>
                <c:pt idx="21">
                  <c:v>4.1417765292294462E-2</c:v>
                </c:pt>
                <c:pt idx="22">
                  <c:v>0.16593527129157337</c:v>
                </c:pt>
                <c:pt idx="23">
                  <c:v>0.23657252353268632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0C-B64F-A6B3-63B7918BA777}"/>
            </c:ext>
          </c:extLst>
        </c:ser>
        <c:ser>
          <c:idx val="3"/>
          <c:order val="3"/>
          <c:tx>
            <c:strRef>
              <c:f>'Delta Gamma Vega heage'!$AF$43</c:f>
              <c:strCache>
                <c:ptCount val="1"/>
                <c:pt idx="0">
                  <c:v>Theta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'Delta Gamma Vega heage'!$AF$44:$AF$67</c:f>
              <c:numCache>
                <c:formatCode>General</c:formatCode>
                <c:ptCount val="24"/>
                <c:pt idx="0">
                  <c:v>37.245474118817015</c:v>
                </c:pt>
                <c:pt idx="1">
                  <c:v>39.990898802112042</c:v>
                </c:pt>
                <c:pt idx="2">
                  <c:v>37.080165286474653</c:v>
                </c:pt>
                <c:pt idx="3">
                  <c:v>28.609790372495468</c:v>
                </c:pt>
                <c:pt idx="4">
                  <c:v>36.28365177329124</c:v>
                </c:pt>
                <c:pt idx="5">
                  <c:v>28.123213666751326</c:v>
                </c:pt>
                <c:pt idx="6">
                  <c:v>30.889276321589023</c:v>
                </c:pt>
                <c:pt idx="7">
                  <c:v>28.557379487938647</c:v>
                </c:pt>
                <c:pt idx="8">
                  <c:v>24.38025102397205</c:v>
                </c:pt>
                <c:pt idx="9">
                  <c:v>17.424641274728515</c:v>
                </c:pt>
                <c:pt idx="10">
                  <c:v>13.446065998491903</c:v>
                </c:pt>
                <c:pt idx="11">
                  <c:v>21.936775726449582</c:v>
                </c:pt>
                <c:pt idx="12">
                  <c:v>25.745981963957774</c:v>
                </c:pt>
                <c:pt idx="13">
                  <c:v>30.251247792989147</c:v>
                </c:pt>
                <c:pt idx="14">
                  <c:v>27.688794723295018</c:v>
                </c:pt>
                <c:pt idx="15">
                  <c:v>28.656760305861667</c:v>
                </c:pt>
                <c:pt idx="16">
                  <c:v>24.68614449728409</c:v>
                </c:pt>
                <c:pt idx="17">
                  <c:v>19.565057374215996</c:v>
                </c:pt>
                <c:pt idx="18">
                  <c:v>20.125826558981657</c:v>
                </c:pt>
                <c:pt idx="19">
                  <c:v>14.640867326413797</c:v>
                </c:pt>
                <c:pt idx="20">
                  <c:v>21.721732589814451</c:v>
                </c:pt>
                <c:pt idx="21">
                  <c:v>25.460592586879557</c:v>
                </c:pt>
                <c:pt idx="22">
                  <c:v>29.448046495435619</c:v>
                </c:pt>
                <c:pt idx="23">
                  <c:v>31.267707075796466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0C-B64F-A6B3-63B7918BA777}"/>
            </c:ext>
          </c:extLst>
        </c:ser>
        <c:ser>
          <c:idx val="4"/>
          <c:order val="4"/>
          <c:tx>
            <c:strRef>
              <c:f>'Delta Gamma Vega heage'!$AG$43</c:f>
              <c:strCache>
                <c:ptCount val="1"/>
                <c:pt idx="0">
                  <c:v>Rho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'Delta Gamma Vega heage'!$AG$44:$AG$67</c:f>
              <c:numCache>
                <c:formatCode>General</c:formatCode>
                <c:ptCount val="24"/>
                <c:pt idx="0">
                  <c:v>317.79685480212459</c:v>
                </c:pt>
                <c:pt idx="1">
                  <c:v>327.5352894519616</c:v>
                </c:pt>
                <c:pt idx="2">
                  <c:v>303.60584157808569</c:v>
                </c:pt>
                <c:pt idx="3">
                  <c:v>271.55005410591167</c:v>
                </c:pt>
                <c:pt idx="4">
                  <c:v>287.16383961146494</c:v>
                </c:pt>
                <c:pt idx="5">
                  <c:v>250.11436664888717</c:v>
                </c:pt>
                <c:pt idx="6">
                  <c:v>247.58677515465251</c:v>
                </c:pt>
                <c:pt idx="7">
                  <c:v>228.71678252252815</c:v>
                </c:pt>
                <c:pt idx="8">
                  <c:v>203.07905408427939</c:v>
                </c:pt>
                <c:pt idx="9">
                  <c:v>136.23404328990421</c:v>
                </c:pt>
                <c:pt idx="10">
                  <c:v>99.460626581708325</c:v>
                </c:pt>
                <c:pt idx="11">
                  <c:v>159.45405025618783</c:v>
                </c:pt>
                <c:pt idx="12">
                  <c:v>168.51950381048223</c:v>
                </c:pt>
                <c:pt idx="13">
                  <c:v>186.61403113070003</c:v>
                </c:pt>
                <c:pt idx="14">
                  <c:v>168.87502729960258</c:v>
                </c:pt>
                <c:pt idx="15">
                  <c:v>156.25887910562992</c:v>
                </c:pt>
                <c:pt idx="16">
                  <c:v>130.96657805531808</c:v>
                </c:pt>
                <c:pt idx="17">
                  <c:v>102.96505705570939</c:v>
                </c:pt>
                <c:pt idx="18">
                  <c:v>100.45455016680673</c:v>
                </c:pt>
                <c:pt idx="19">
                  <c:v>70.702857548539299</c:v>
                </c:pt>
                <c:pt idx="20">
                  <c:v>103.81493990761855</c:v>
                </c:pt>
                <c:pt idx="21">
                  <c:v>102.26152189823993</c:v>
                </c:pt>
                <c:pt idx="22">
                  <c:v>112.45991032464492</c:v>
                </c:pt>
                <c:pt idx="23">
                  <c:v>114.07039479800306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70C-B64F-A6B3-63B7918BA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2819487"/>
        <c:axId val="934114111"/>
      </c:lineChart>
      <c:catAx>
        <c:axId val="92281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4114111"/>
        <c:crosses val="autoZero"/>
        <c:auto val="1"/>
        <c:lblAlgn val="ctr"/>
        <c:lblOffset val="100"/>
        <c:noMultiLvlLbl val="0"/>
      </c:catAx>
      <c:valAx>
        <c:axId val="934114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2819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  <a:r>
              <a:rPr lang="zh-CN" altLang="en-US"/>
              <a:t> </a:t>
            </a:r>
            <a:r>
              <a:rPr lang="en-US" altLang="zh-CN"/>
              <a:t>with</a:t>
            </a:r>
            <a:r>
              <a:rPr lang="zh-CN" altLang="en-US"/>
              <a:t> </a:t>
            </a:r>
            <a:r>
              <a:rPr lang="en-US" altLang="zh-CN"/>
              <a:t>Delta</a:t>
            </a:r>
            <a:r>
              <a:rPr lang="zh-CN" altLang="en-US"/>
              <a:t> </a:t>
            </a:r>
            <a:r>
              <a:rPr lang="en-US" altLang="zh-CN"/>
              <a:t>Gamma</a:t>
            </a:r>
            <a:r>
              <a:rPr lang="zh-CN" altLang="en-US"/>
              <a:t> </a:t>
            </a:r>
            <a:r>
              <a:rPr lang="en-US" altLang="zh-CN"/>
              <a:t>Vega</a:t>
            </a:r>
            <a:r>
              <a:rPr lang="zh-CN" altLang="en-US"/>
              <a:t> </a:t>
            </a:r>
            <a:r>
              <a:rPr lang="en-US" altLang="zh-CN"/>
              <a:t>hedge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'Delta Gamma Vega heage'!$AA$74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'Delta Gamma Vega heage'!$AA$75:$AA$98</c:f>
              <c:numCache>
                <c:formatCode>General</c:formatCode>
                <c:ptCount val="24"/>
                <c:pt idx="0">
                  <c:v>0</c:v>
                </c:pt>
                <c:pt idx="1">
                  <c:v>-2.6605559016297775</c:v>
                </c:pt>
                <c:pt idx="2">
                  <c:v>-3.4880414183821813</c:v>
                </c:pt>
                <c:pt idx="3">
                  <c:v>-14.435732621312354</c:v>
                </c:pt>
                <c:pt idx="4">
                  <c:v>-26.852244123963828</c:v>
                </c:pt>
                <c:pt idx="5">
                  <c:v>-30.771396373040261</c:v>
                </c:pt>
                <c:pt idx="6">
                  <c:v>-33.353198298371808</c:v>
                </c:pt>
                <c:pt idx="7">
                  <c:v>-29.68626328953269</c:v>
                </c:pt>
                <c:pt idx="8">
                  <c:v>-20.228817746426785</c:v>
                </c:pt>
                <c:pt idx="9">
                  <c:v>1.9494623016655623</c:v>
                </c:pt>
                <c:pt idx="10">
                  <c:v>6.4569899179678032</c:v>
                </c:pt>
                <c:pt idx="11">
                  <c:v>4.9200530898151555</c:v>
                </c:pt>
                <c:pt idx="12">
                  <c:v>-2.9875009628092357</c:v>
                </c:pt>
                <c:pt idx="13">
                  <c:v>-15.998697682231978</c:v>
                </c:pt>
                <c:pt idx="14">
                  <c:v>-13.94903146155275</c:v>
                </c:pt>
                <c:pt idx="15">
                  <c:v>-18.357227492579568</c:v>
                </c:pt>
                <c:pt idx="16">
                  <c:v>-12.140899194626627</c:v>
                </c:pt>
                <c:pt idx="17">
                  <c:v>-0.77781454427645258</c:v>
                </c:pt>
                <c:pt idx="18">
                  <c:v>-3.9400083521104534</c:v>
                </c:pt>
                <c:pt idx="19">
                  <c:v>5.9378062973494252</c:v>
                </c:pt>
                <c:pt idx="20">
                  <c:v>-5.5917335436174653</c:v>
                </c:pt>
                <c:pt idx="21">
                  <c:v>-5.8279772113014587</c:v>
                </c:pt>
                <c:pt idx="22">
                  <c:v>-12.237418676604193</c:v>
                </c:pt>
                <c:pt idx="23">
                  <c:v>-12.313457079277669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87-9D4F-89A8-516A940DC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7554927"/>
        <c:axId val="932895615"/>
      </c:lineChart>
      <c:catAx>
        <c:axId val="8975549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895615"/>
        <c:crosses val="autoZero"/>
        <c:auto val="1"/>
        <c:lblAlgn val="ctr"/>
        <c:lblOffset val="100"/>
        <c:noMultiLvlLbl val="0"/>
      </c:catAx>
      <c:valAx>
        <c:axId val="93289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554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Greeks</a:t>
            </a:r>
            <a:r>
              <a:rPr lang="zh-CN" altLang="en-US" baseline="0"/>
              <a:t> </a:t>
            </a:r>
            <a:r>
              <a:rPr lang="en-US" altLang="zh-CN" baseline="0"/>
              <a:t>with</a:t>
            </a:r>
            <a:r>
              <a:rPr lang="zh-CN" altLang="en-US" baseline="0"/>
              <a:t> </a:t>
            </a:r>
            <a:r>
              <a:rPr lang="en-US" altLang="zh-CN" baseline="0"/>
              <a:t>Delta</a:t>
            </a:r>
            <a:r>
              <a:rPr lang="zh-CN" altLang="en-US" baseline="0"/>
              <a:t> </a:t>
            </a:r>
            <a:r>
              <a:rPr lang="en-US" altLang="zh-CN" baseline="0"/>
              <a:t>Gamma</a:t>
            </a:r>
            <a:r>
              <a:rPr lang="zh-CN" altLang="en-US" baseline="0"/>
              <a:t> </a:t>
            </a:r>
            <a:r>
              <a:rPr lang="en-US" altLang="zh-CN" baseline="0"/>
              <a:t>Vega</a:t>
            </a:r>
            <a:r>
              <a:rPr lang="zh-CN" altLang="en-US" baseline="0"/>
              <a:t> </a:t>
            </a:r>
            <a:r>
              <a:rPr lang="en-US" altLang="zh-CN" baseline="0"/>
              <a:t>hedge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'Delta Gamma Vega heage'!$AC$74</c:f>
              <c:strCache>
                <c:ptCount val="1"/>
                <c:pt idx="0">
                  <c:v>Delta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'Delta Gamma Vega heage'!$AC$75:$AC$98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BE-1548-904D-2C84E92A7E99}"/>
            </c:ext>
          </c:extLst>
        </c:ser>
        <c:ser>
          <c:idx val="1"/>
          <c:order val="1"/>
          <c:tx>
            <c:strRef>
              <c:f>'Delta Gamma Vega heage'!$AD$74</c:f>
              <c:strCache>
                <c:ptCount val="1"/>
                <c:pt idx="0">
                  <c:v>Gamma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'Delta Gamma Vega heage'!$AD$75:$AD$98</c:f>
              <c:numCache>
                <c:formatCode>General</c:formatCode>
                <c:ptCount val="24"/>
                <c:pt idx="0">
                  <c:v>1.5611939216161655E-11</c:v>
                </c:pt>
                <c:pt idx="1">
                  <c:v>-1.2433472712598609E-10</c:v>
                </c:pt>
                <c:pt idx="2">
                  <c:v>-3.2690117105691247E-11</c:v>
                </c:pt>
                <c:pt idx="3">
                  <c:v>-5.6922202242265085E-18</c:v>
                </c:pt>
                <c:pt idx="4">
                  <c:v>8.482814508056351E-7</c:v>
                </c:pt>
                <c:pt idx="5">
                  <c:v>1.0994916175734521E-10</c:v>
                </c:pt>
                <c:pt idx="6">
                  <c:v>-3.8307708667142764E-11</c:v>
                </c:pt>
                <c:pt idx="7">
                  <c:v>1.4400865768358288E-10</c:v>
                </c:pt>
                <c:pt idx="8">
                  <c:v>-1.8405761246039929E-18</c:v>
                </c:pt>
                <c:pt idx="9">
                  <c:v>8.7544031472284144E-18</c:v>
                </c:pt>
                <c:pt idx="10">
                  <c:v>-5.1581130114234687E-18</c:v>
                </c:pt>
                <c:pt idx="11">
                  <c:v>-1.0633007184654598E-10</c:v>
                </c:pt>
                <c:pt idx="12">
                  <c:v>-1.5169450613121212E-10</c:v>
                </c:pt>
                <c:pt idx="13">
                  <c:v>-1.8557883279845629E-13</c:v>
                </c:pt>
                <c:pt idx="14">
                  <c:v>1.7343550648753369E-10</c:v>
                </c:pt>
                <c:pt idx="15">
                  <c:v>6.633551761311854E-18</c:v>
                </c:pt>
                <c:pt idx="16">
                  <c:v>3.1713695037811942E-10</c:v>
                </c:pt>
                <c:pt idx="17">
                  <c:v>3.6642504241236697E-10</c:v>
                </c:pt>
                <c:pt idx="18">
                  <c:v>5.00391370227434E-10</c:v>
                </c:pt>
                <c:pt idx="19">
                  <c:v>3.7148511733935133E-10</c:v>
                </c:pt>
                <c:pt idx="20">
                  <c:v>-7.5224996045654413E-18</c:v>
                </c:pt>
                <c:pt idx="21">
                  <c:v>2.4147901446959828E-10</c:v>
                </c:pt>
                <c:pt idx="22">
                  <c:v>1.3980278794432227E-17</c:v>
                </c:pt>
                <c:pt idx="23">
                  <c:v>8.2068211617492539E-11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BE-1548-904D-2C84E92A7E99}"/>
            </c:ext>
          </c:extLst>
        </c:ser>
        <c:ser>
          <c:idx val="2"/>
          <c:order val="2"/>
          <c:tx>
            <c:strRef>
              <c:f>'Delta Gamma Vega heage'!$AE$74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'Delta Gamma Vega heage'!$AE$75:$AE$98</c:f>
              <c:numCache>
                <c:formatCode>General</c:formatCode>
                <c:ptCount val="24"/>
                <c:pt idx="0">
                  <c:v>1.3300471835009375E-13</c:v>
                </c:pt>
                <c:pt idx="1">
                  <c:v>2.8093316851718342E-5</c:v>
                </c:pt>
                <c:pt idx="2">
                  <c:v>-1.6893349578050998E-5</c:v>
                </c:pt>
                <c:pt idx="3">
                  <c:v>5.5314641755899174E-12</c:v>
                </c:pt>
                <c:pt idx="4">
                  <c:v>-4.25726757680156E-7</c:v>
                </c:pt>
                <c:pt idx="5">
                  <c:v>-2.1375679004620451E-12</c:v>
                </c:pt>
                <c:pt idx="6">
                  <c:v>4.1994185906446546E-13</c:v>
                </c:pt>
                <c:pt idx="7">
                  <c:v>6.0789163842445149E-5</c:v>
                </c:pt>
                <c:pt idx="8">
                  <c:v>-4.8325649038005736E-12</c:v>
                </c:pt>
                <c:pt idx="9">
                  <c:v>-9.1116003630986597E-13</c:v>
                </c:pt>
                <c:pt idx="10">
                  <c:v>3.321287689317387E-12</c:v>
                </c:pt>
                <c:pt idx="11">
                  <c:v>-1.3657408537426363E-12</c:v>
                </c:pt>
                <c:pt idx="12">
                  <c:v>8.0686827610809697E-5</c:v>
                </c:pt>
                <c:pt idx="13" formatCode="0.000000000">
                  <c:v>-7.0869352053470891E-13</c:v>
                </c:pt>
                <c:pt idx="14">
                  <c:v>6.3098151659696233E-5</c:v>
                </c:pt>
                <c:pt idx="15">
                  <c:v>-5.2253375237842903E-12</c:v>
                </c:pt>
                <c:pt idx="16">
                  <c:v>7.8030129057132802E-5</c:v>
                </c:pt>
                <c:pt idx="17">
                  <c:v>1.1246522440386264E-4</c:v>
                </c:pt>
                <c:pt idx="18">
                  <c:v>1.120751237666251E-4</c:v>
                </c:pt>
                <c:pt idx="19">
                  <c:v>1.4275885077028039E-4</c:v>
                </c:pt>
                <c:pt idx="20">
                  <c:v>1.6636692024007971E-12</c:v>
                </c:pt>
                <c:pt idx="21">
                  <c:v>-5.3175380765324576E-12</c:v>
                </c:pt>
                <c:pt idx="22">
                  <c:v>-1.5360955649079688E-5</c:v>
                </c:pt>
                <c:pt idx="23">
                  <c:v>-4.5757402506230171E-5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BE-1548-904D-2C84E92A7E99}"/>
            </c:ext>
          </c:extLst>
        </c:ser>
        <c:ser>
          <c:idx val="3"/>
          <c:order val="3"/>
          <c:tx>
            <c:strRef>
              <c:f>'Delta Gamma Vega heage'!$AF$74</c:f>
              <c:strCache>
                <c:ptCount val="1"/>
                <c:pt idx="0">
                  <c:v>Theta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'Delta Gamma Vega heage'!$AF$75:$AF$98</c:f>
              <c:numCache>
                <c:formatCode>General</c:formatCode>
                <c:ptCount val="24"/>
                <c:pt idx="0">
                  <c:v>37.400928994963188</c:v>
                </c:pt>
                <c:pt idx="1">
                  <c:v>39.868919119465595</c:v>
                </c:pt>
                <c:pt idx="2">
                  <c:v>37.279026180558319</c:v>
                </c:pt>
                <c:pt idx="3">
                  <c:v>28.439436169978364</c:v>
                </c:pt>
                <c:pt idx="4">
                  <c:v>35.185514618903355</c:v>
                </c:pt>
                <c:pt idx="5">
                  <c:v>28.030019894924457</c:v>
                </c:pt>
                <c:pt idx="6">
                  <c:v>31.126140009110095</c:v>
                </c:pt>
                <c:pt idx="7">
                  <c:v>28.943024630353559</c:v>
                </c:pt>
                <c:pt idx="8">
                  <c:v>24.317088976612119</c:v>
                </c:pt>
                <c:pt idx="9">
                  <c:v>17.459159044139554</c:v>
                </c:pt>
                <c:pt idx="10">
                  <c:v>13.397030115531141</c:v>
                </c:pt>
                <c:pt idx="11">
                  <c:v>21.908556102439881</c:v>
                </c:pt>
                <c:pt idx="12">
                  <c:v>25.841920338708611</c:v>
                </c:pt>
                <c:pt idx="13">
                  <c:v>30.238593642112239</c:v>
                </c:pt>
                <c:pt idx="14">
                  <c:v>27.796692287239697</c:v>
                </c:pt>
                <c:pt idx="15">
                  <c:v>28.638807864178894</c:v>
                </c:pt>
                <c:pt idx="16">
                  <c:v>24.730575130419059</c:v>
                </c:pt>
                <c:pt idx="17">
                  <c:v>19.651451729332404</c:v>
                </c:pt>
                <c:pt idx="18">
                  <c:v>20.17923405546529</c:v>
                </c:pt>
                <c:pt idx="19">
                  <c:v>14.657668080927806</c:v>
                </c:pt>
                <c:pt idx="20">
                  <c:v>21.142411889086176</c:v>
                </c:pt>
                <c:pt idx="21">
                  <c:v>25.41343203394462</c:v>
                </c:pt>
                <c:pt idx="22">
                  <c:v>29.233357959349863</c:v>
                </c:pt>
                <c:pt idx="23">
                  <c:v>30.973195843268606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BE-1548-904D-2C84E92A7E99}"/>
            </c:ext>
          </c:extLst>
        </c:ser>
        <c:ser>
          <c:idx val="4"/>
          <c:order val="4"/>
          <c:tx>
            <c:strRef>
              <c:f>'Delta Gamma Vega heage'!$AG$74</c:f>
              <c:strCache>
                <c:ptCount val="1"/>
                <c:pt idx="0">
                  <c:v>Rho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'Delta Gamma Vega heage'!$AG$75:$AG$98</c:f>
              <c:numCache>
                <c:formatCode>General</c:formatCode>
                <c:ptCount val="24"/>
                <c:pt idx="0">
                  <c:v>317.43715695779258</c:v>
                </c:pt>
                <c:pt idx="1">
                  <c:v>327.75185042922152</c:v>
                </c:pt>
                <c:pt idx="2">
                  <c:v>303.19173509779682</c:v>
                </c:pt>
                <c:pt idx="3">
                  <c:v>271.93312610356293</c:v>
                </c:pt>
                <c:pt idx="4">
                  <c:v>287.29942256767634</c:v>
                </c:pt>
                <c:pt idx="5">
                  <c:v>250.29185756910795</c:v>
                </c:pt>
                <c:pt idx="6">
                  <c:v>247.14886482059691</c:v>
                </c:pt>
                <c:pt idx="7">
                  <c:v>227.88764455019333</c:v>
                </c:pt>
                <c:pt idx="8">
                  <c:v>203.28170484032631</c:v>
                </c:pt>
                <c:pt idx="9">
                  <c:v>134.94646097828951</c:v>
                </c:pt>
                <c:pt idx="10">
                  <c:v>98.367147905386147</c:v>
                </c:pt>
                <c:pt idx="11">
                  <c:v>159.82318827007342</c:v>
                </c:pt>
                <c:pt idx="12">
                  <c:v>168.12474067318746</c:v>
                </c:pt>
                <c:pt idx="13">
                  <c:v>186.63805953765853</c:v>
                </c:pt>
                <c:pt idx="14">
                  <c:v>168.64411753500985</c:v>
                </c:pt>
                <c:pt idx="15">
                  <c:v>156.29091621771082</c:v>
                </c:pt>
                <c:pt idx="16">
                  <c:v>130.85879786656523</c:v>
                </c:pt>
                <c:pt idx="17">
                  <c:v>102.5476725277276</c:v>
                </c:pt>
                <c:pt idx="18">
                  <c:v>100.2170696949721</c:v>
                </c:pt>
                <c:pt idx="19">
                  <c:v>70.435266377229581</c:v>
                </c:pt>
                <c:pt idx="20">
                  <c:v>105.0178151489671</c:v>
                </c:pt>
                <c:pt idx="21">
                  <c:v>102.34821647627646</c:v>
                </c:pt>
                <c:pt idx="22">
                  <c:v>112.73041787770586</c:v>
                </c:pt>
                <c:pt idx="23">
                  <c:v>114.39763192449747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BE-1548-904D-2C84E92A7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6032655"/>
        <c:axId val="852861567"/>
      </c:lineChart>
      <c:catAx>
        <c:axId val="9360326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2861567"/>
        <c:crosses val="autoZero"/>
        <c:auto val="1"/>
        <c:lblAlgn val="ctr"/>
        <c:lblOffset val="100"/>
        <c:noMultiLvlLbl val="0"/>
      </c:catAx>
      <c:valAx>
        <c:axId val="85286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032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No</a:t>
            </a:r>
            <a:r>
              <a:rPr lang="zh-CN" altLang="en-US"/>
              <a:t> </a:t>
            </a:r>
            <a:r>
              <a:rPr lang="en-US" altLang="zh-CN"/>
              <a:t>hedge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'Delta Gamma Vega heage'!$AA$13:$AA$36</c:f>
              <c:numCache>
                <c:formatCode>General</c:formatCode>
                <c:ptCount val="24"/>
                <c:pt idx="0">
                  <c:v>0</c:v>
                </c:pt>
                <c:pt idx="1">
                  <c:v>47.497742171058334</c:v>
                </c:pt>
                <c:pt idx="2">
                  <c:v>-6.0045156993287918</c:v>
                </c:pt>
                <c:pt idx="3">
                  <c:v>-70.006773611162131</c:v>
                </c:pt>
                <c:pt idx="4">
                  <c:v>-27.509031564442452</c:v>
                </c:pt>
                <c:pt idx="5">
                  <c:v>-74.265805672972888</c:v>
                </c:pt>
                <c:pt idx="6">
                  <c:v>-66.26806379204875</c:v>
                </c:pt>
                <c:pt idx="7">
                  <c:v>-87.520321952575401</c:v>
                </c:pt>
                <c:pt idx="8">
                  <c:v>-100.77258015455359</c:v>
                </c:pt>
                <c:pt idx="9">
                  <c:v>-116.0248383979841</c:v>
                </c:pt>
                <c:pt idx="10">
                  <c:v>-118.031613376997</c:v>
                </c:pt>
                <c:pt idx="11">
                  <c:v>-98.033871786244333</c:v>
                </c:pt>
                <c:pt idx="12">
                  <c:v>-94.786130236947784</c:v>
                </c:pt>
                <c:pt idx="13">
                  <c:v>-73.038388729108107</c:v>
                </c:pt>
                <c:pt idx="14">
                  <c:v>-92.540647262726068</c:v>
                </c:pt>
                <c:pt idx="15">
                  <c:v>-88.047423112333306</c:v>
                </c:pt>
                <c:pt idx="16">
                  <c:v>-108.29968181178941</c:v>
                </c:pt>
                <c:pt idx="17">
                  <c:v>-116.55194055270695</c:v>
                </c:pt>
                <c:pt idx="18">
                  <c:v>-116.30419933508669</c:v>
                </c:pt>
                <c:pt idx="19">
                  <c:v>-119.55645815892939</c:v>
                </c:pt>
                <c:pt idx="20">
                  <c:v>-105.56323487924283</c:v>
                </c:pt>
                <c:pt idx="21">
                  <c:v>-102.56549386894498</c:v>
                </c:pt>
                <c:pt idx="22">
                  <c:v>-82.317752900113902</c:v>
                </c:pt>
                <c:pt idx="23">
                  <c:v>-65.570011972750351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39-C243-821F-3538DF6CE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10223"/>
        <c:axId val="969011439"/>
      </c:lineChart>
      <c:catAx>
        <c:axId val="9690102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011439"/>
        <c:crosses val="autoZero"/>
        <c:auto val="1"/>
        <c:lblAlgn val="ctr"/>
        <c:lblOffset val="100"/>
        <c:noMultiLvlLbl val="0"/>
      </c:catAx>
      <c:valAx>
        <c:axId val="96901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010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P/L</a:t>
            </a:r>
            <a:r>
              <a:rPr lang="zh-CN" altLang="en-US"/>
              <a:t> </a:t>
            </a:r>
            <a:r>
              <a:rPr lang="en-US" altLang="zh-CN"/>
              <a:t>with</a:t>
            </a:r>
            <a:r>
              <a:rPr lang="zh-CN" altLang="en-US"/>
              <a:t> </a:t>
            </a:r>
            <a:r>
              <a:rPr lang="en-US" altLang="zh-CN"/>
              <a:t>Delta</a:t>
            </a:r>
            <a:r>
              <a:rPr lang="zh-CN" altLang="en-US"/>
              <a:t> </a:t>
            </a:r>
            <a:r>
              <a:rPr lang="en-US" altLang="zh-CN"/>
              <a:t>and</a:t>
            </a:r>
            <a:r>
              <a:rPr lang="zh-CN" altLang="en-US"/>
              <a:t> </a:t>
            </a:r>
            <a:r>
              <a:rPr lang="en-US" altLang="zh-CN"/>
              <a:t>Gamma</a:t>
            </a:r>
            <a:r>
              <a:rPr lang="zh-CN" altLang="en-US"/>
              <a:t> </a:t>
            </a:r>
            <a:r>
              <a:rPr lang="en-US" altLang="zh-CN"/>
              <a:t>hedge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'Gamma with in the money put'!$Y$52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'Gamma with in the money put'!$Y$53:$Y$76</c:f>
              <c:numCache>
                <c:formatCode>General</c:formatCode>
                <c:ptCount val="24"/>
                <c:pt idx="0">
                  <c:v>0</c:v>
                </c:pt>
                <c:pt idx="1">
                  <c:v>-1.8626407930378264</c:v>
                </c:pt>
                <c:pt idx="2">
                  <c:v>1.1656287511264054</c:v>
                </c:pt>
                <c:pt idx="3">
                  <c:v>20.61001366706023</c:v>
                </c:pt>
                <c:pt idx="4">
                  <c:v>10.211548868381669</c:v>
                </c:pt>
                <c:pt idx="5">
                  <c:v>37.222391741965112</c:v>
                </c:pt>
                <c:pt idx="6">
                  <c:v>28.913810421259768</c:v>
                </c:pt>
                <c:pt idx="7">
                  <c:v>32.097247632628751</c:v>
                </c:pt>
                <c:pt idx="8">
                  <c:v>29.112308838924946</c:v>
                </c:pt>
                <c:pt idx="9">
                  <c:v>31.403395465389622</c:v>
                </c:pt>
                <c:pt idx="10">
                  <c:v>31.619979860444346</c:v>
                </c:pt>
                <c:pt idx="11">
                  <c:v>35.682223313269333</c:v>
                </c:pt>
                <c:pt idx="12">
                  <c:v>37.861707114713681</c:v>
                </c:pt>
                <c:pt idx="13">
                  <c:v>36.572231978599575</c:v>
                </c:pt>
                <c:pt idx="14">
                  <c:v>40.360968414852323</c:v>
                </c:pt>
                <c:pt idx="15">
                  <c:v>33.296863092934927</c:v>
                </c:pt>
                <c:pt idx="16">
                  <c:v>30.976119391270004</c:v>
                </c:pt>
                <c:pt idx="17">
                  <c:v>40.540392704910118</c:v>
                </c:pt>
                <c:pt idx="18">
                  <c:v>36.788250891179814</c:v>
                </c:pt>
                <c:pt idx="19">
                  <c:v>38.027433622368335</c:v>
                </c:pt>
                <c:pt idx="20">
                  <c:v>38.157717960852096</c:v>
                </c:pt>
                <c:pt idx="21">
                  <c:v>39.312838572841429</c:v>
                </c:pt>
                <c:pt idx="22">
                  <c:v>34.08366592154016</c:v>
                </c:pt>
                <c:pt idx="23">
                  <c:v>32.578563779851265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9D-4741-BC09-2ECB2C105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2803983"/>
        <c:axId val="929421263"/>
      </c:lineChart>
      <c:catAx>
        <c:axId val="9328039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421263"/>
        <c:crosses val="autoZero"/>
        <c:auto val="1"/>
        <c:lblAlgn val="ctr"/>
        <c:lblOffset val="100"/>
        <c:noMultiLvlLbl val="0"/>
      </c:catAx>
      <c:valAx>
        <c:axId val="929421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8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P/L</a:t>
            </a:r>
            <a:r>
              <a:rPr lang="zh-CN" altLang="en-US" baseline="0"/>
              <a:t> </a:t>
            </a:r>
            <a:r>
              <a:rPr lang="en-US" altLang="zh-CN" baseline="0"/>
              <a:t>with</a:t>
            </a:r>
            <a:r>
              <a:rPr lang="zh-CN" altLang="en-US" baseline="0"/>
              <a:t> </a:t>
            </a:r>
            <a:r>
              <a:rPr lang="en-US" altLang="zh-CN" baseline="0"/>
              <a:t>different</a:t>
            </a:r>
            <a:r>
              <a:rPr lang="zh-CN" altLang="en-US" baseline="0"/>
              <a:t> </a:t>
            </a:r>
            <a:r>
              <a:rPr lang="en-US" altLang="zh-CN" baseline="0"/>
              <a:t>gamma</a:t>
            </a:r>
            <a:r>
              <a:rPr lang="zh-CN" altLang="en-US" baseline="0"/>
              <a:t> </a:t>
            </a:r>
            <a:r>
              <a:rPr lang="en-US" altLang="zh-CN" baseline="0"/>
              <a:t>hedge</a:t>
            </a:r>
            <a:r>
              <a:rPr lang="zh-CN" altLang="en-US" baseline="0"/>
              <a:t> </a:t>
            </a:r>
            <a:r>
              <a:rPr lang="en-US" altLang="zh-CN" baseline="0"/>
              <a:t>put</a:t>
            </a:r>
            <a:r>
              <a:rPr lang="zh-CN" altLang="en-US" baseline="0"/>
              <a:t> </a:t>
            </a:r>
            <a:r>
              <a:rPr lang="en-US" altLang="zh-CN" baseline="0"/>
              <a:t>options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Comparsion!$F$8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>
                  <a:tint val="6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Comparsion!$F$9:$F$32</c:f>
              <c:numCache>
                <c:formatCode>General</c:formatCode>
                <c:ptCount val="24"/>
                <c:pt idx="0">
                  <c:v>0</c:v>
                </c:pt>
                <c:pt idx="1">
                  <c:v>-2.6528928947041095</c:v>
                </c:pt>
                <c:pt idx="2">
                  <c:v>-3.4775025527283105</c:v>
                </c:pt>
                <c:pt idx="3">
                  <c:v>-14.430996431346557</c:v>
                </c:pt>
                <c:pt idx="4">
                  <c:v>-26.867276433319603</c:v>
                </c:pt>
                <c:pt idx="5">
                  <c:v>-30.858708331545131</c:v>
                </c:pt>
                <c:pt idx="6">
                  <c:v>-33.442198111227754</c:v>
                </c:pt>
                <c:pt idx="7">
                  <c:v>-29.784132100591478</c:v>
                </c:pt>
                <c:pt idx="8">
                  <c:v>-20.345365406640667</c:v>
                </c:pt>
                <c:pt idx="9">
                  <c:v>1.8430223284221938</c:v>
                </c:pt>
                <c:pt idx="10">
                  <c:v>6.3283671341126819</c:v>
                </c:pt>
                <c:pt idx="11">
                  <c:v>4.8602297079678465</c:v>
                </c:pt>
                <c:pt idx="12">
                  <c:v>-3.055260753189259</c:v>
                </c:pt>
                <c:pt idx="13">
                  <c:v>-16.045779695053398</c:v>
                </c:pt>
                <c:pt idx="14">
                  <c:v>-13.995630693401608</c:v>
                </c:pt>
                <c:pt idx="15">
                  <c:v>-18.399519605040723</c:v>
                </c:pt>
                <c:pt idx="16">
                  <c:v>-12.182416358039063</c:v>
                </c:pt>
                <c:pt idx="17">
                  <c:v>-0.82253321399412016</c:v>
                </c:pt>
                <c:pt idx="18">
                  <c:v>-3.9799364157663604</c:v>
                </c:pt>
                <c:pt idx="19">
                  <c:v>5.8930930027529485</c:v>
                </c:pt>
                <c:pt idx="20">
                  <c:v>-5.6217170478553271</c:v>
                </c:pt>
                <c:pt idx="21">
                  <c:v>-5.8601209364660463</c:v>
                </c:pt>
                <c:pt idx="22">
                  <c:v>-12.272409756183833</c:v>
                </c:pt>
                <c:pt idx="23">
                  <c:v>-12.351816133153989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D0-EC4F-971A-59F14AE0A104}"/>
            </c:ext>
          </c:extLst>
        </c:ser>
        <c:ser>
          <c:idx val="1"/>
          <c:order val="1"/>
          <c:tx>
            <c:strRef>
              <c:f>Comparsion!$L$8</c:f>
              <c:strCache>
                <c:ptCount val="1"/>
                <c:pt idx="0">
                  <c:v>P/L (In)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Comparsion!$L$9:$L$32</c:f>
              <c:numCache>
                <c:formatCode>General</c:formatCode>
                <c:ptCount val="24"/>
                <c:pt idx="0">
                  <c:v>0</c:v>
                </c:pt>
                <c:pt idx="1">
                  <c:v>-1.862640793</c:v>
                </c:pt>
                <c:pt idx="2">
                  <c:v>1.1656287510000001</c:v>
                </c:pt>
                <c:pt idx="3">
                  <c:v>20.610013670000001</c:v>
                </c:pt>
                <c:pt idx="4">
                  <c:v>10.21154887</c:v>
                </c:pt>
                <c:pt idx="5">
                  <c:v>37.222391739999999</c:v>
                </c:pt>
                <c:pt idx="6">
                  <c:v>28.913810420000001</c:v>
                </c:pt>
                <c:pt idx="7">
                  <c:v>32.097247629999998</c:v>
                </c:pt>
                <c:pt idx="8">
                  <c:v>29.112308840000001</c:v>
                </c:pt>
                <c:pt idx="9">
                  <c:v>31.40339547</c:v>
                </c:pt>
                <c:pt idx="10">
                  <c:v>31.619979860000001</c:v>
                </c:pt>
                <c:pt idx="11">
                  <c:v>35.682223309999998</c:v>
                </c:pt>
                <c:pt idx="12">
                  <c:v>37.861707109999998</c:v>
                </c:pt>
                <c:pt idx="13">
                  <c:v>36.572231979999998</c:v>
                </c:pt>
                <c:pt idx="14">
                  <c:v>40.360968409999998</c:v>
                </c:pt>
                <c:pt idx="15">
                  <c:v>33.296863090000002</c:v>
                </c:pt>
                <c:pt idx="16">
                  <c:v>30.976119390000001</c:v>
                </c:pt>
                <c:pt idx="17">
                  <c:v>40.540392699999998</c:v>
                </c:pt>
                <c:pt idx="18">
                  <c:v>36.78825089</c:v>
                </c:pt>
                <c:pt idx="19">
                  <c:v>38.027433619999996</c:v>
                </c:pt>
                <c:pt idx="20">
                  <c:v>38.157717959999999</c:v>
                </c:pt>
                <c:pt idx="21">
                  <c:v>39.312838569999997</c:v>
                </c:pt>
                <c:pt idx="22">
                  <c:v>34.083665920000001</c:v>
                </c:pt>
                <c:pt idx="23">
                  <c:v>32.578563780000003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D0-EC4F-971A-59F14AE0A104}"/>
            </c:ext>
          </c:extLst>
        </c:ser>
        <c:ser>
          <c:idx val="2"/>
          <c:order val="2"/>
          <c:tx>
            <c:strRef>
              <c:f>Comparsion!$R$8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>
                  <a:shade val="6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Comparsion!$R$9:$R$32</c:f>
              <c:numCache>
                <c:formatCode>General</c:formatCode>
                <c:ptCount val="24"/>
                <c:pt idx="0">
                  <c:v>0</c:v>
                </c:pt>
                <c:pt idx="1">
                  <c:v>-2.6466153540000001</c:v>
                </c:pt>
                <c:pt idx="2">
                  <c:v>-2.4509723769999998</c:v>
                </c:pt>
                <c:pt idx="3">
                  <c:v>-4.1721966869999996</c:v>
                </c:pt>
                <c:pt idx="4">
                  <c:v>-17.299180339999999</c:v>
                </c:pt>
                <c:pt idx="5">
                  <c:v>-11.20539308</c:v>
                </c:pt>
                <c:pt idx="6">
                  <c:v>-14.161932370000001</c:v>
                </c:pt>
                <c:pt idx="7">
                  <c:v>-10.017467809999999</c:v>
                </c:pt>
                <c:pt idx="8">
                  <c:v>-3.0233348100000002</c:v>
                </c:pt>
                <c:pt idx="9">
                  <c:v>12.49033152</c:v>
                </c:pt>
                <c:pt idx="10">
                  <c:v>14.95740709</c:v>
                </c:pt>
                <c:pt idx="11">
                  <c:v>13.29323338</c:v>
                </c:pt>
                <c:pt idx="12">
                  <c:v>9.8378618640000006</c:v>
                </c:pt>
                <c:pt idx="13">
                  <c:v>-3.3174286469999998</c:v>
                </c:pt>
                <c:pt idx="14">
                  <c:v>-7.2012295000000004E-2</c:v>
                </c:pt>
                <c:pt idx="15">
                  <c:v>-5.5529565029999999</c:v>
                </c:pt>
                <c:pt idx="16">
                  <c:v>-0.44622011900000003</c:v>
                </c:pt>
                <c:pt idx="17">
                  <c:v>10.80649331</c:v>
                </c:pt>
                <c:pt idx="18">
                  <c:v>7.7808394979999997</c:v>
                </c:pt>
                <c:pt idx="19">
                  <c:v>14.939588909999999</c:v>
                </c:pt>
                <c:pt idx="20">
                  <c:v>1.687966437</c:v>
                </c:pt>
                <c:pt idx="21">
                  <c:v>1.998844463</c:v>
                </c:pt>
                <c:pt idx="22">
                  <c:v>-6.1624817270000003</c:v>
                </c:pt>
                <c:pt idx="23">
                  <c:v>-7.3131035019999997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D0-EC4F-971A-59F14AE0A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35679"/>
        <c:axId val="966009983"/>
      </c:lineChart>
      <c:catAx>
        <c:axId val="9373356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009983"/>
        <c:crosses val="autoZero"/>
        <c:auto val="1"/>
        <c:lblAlgn val="ctr"/>
        <c:lblOffset val="100"/>
        <c:noMultiLvlLbl val="0"/>
      </c:catAx>
      <c:valAx>
        <c:axId val="96600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35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Vega</a:t>
            </a:r>
            <a:r>
              <a:rPr lang="zh-CN" altLang="en-US" baseline="0"/>
              <a:t> </a:t>
            </a:r>
            <a:r>
              <a:rPr lang="en-US" altLang="zh-CN" baseline="0"/>
              <a:t>for</a:t>
            </a:r>
            <a:r>
              <a:rPr lang="zh-CN" altLang="en-US" baseline="0"/>
              <a:t> </a:t>
            </a:r>
            <a:r>
              <a:rPr lang="en-US" altLang="zh-CN" baseline="0"/>
              <a:t>Gamma</a:t>
            </a:r>
            <a:r>
              <a:rPr lang="zh-CN" altLang="en-US" baseline="0"/>
              <a:t> </a:t>
            </a:r>
            <a:r>
              <a:rPr lang="en-US" altLang="zh-CN" baseline="0"/>
              <a:t>with</a:t>
            </a:r>
            <a:r>
              <a:rPr lang="zh-CN" altLang="en-US" baseline="0"/>
              <a:t> </a:t>
            </a:r>
            <a:r>
              <a:rPr lang="en-US" altLang="zh-CN" baseline="0"/>
              <a:t>diff</a:t>
            </a:r>
            <a:r>
              <a:rPr lang="zh-CN" altLang="en-US" baseline="0"/>
              <a:t> </a:t>
            </a:r>
            <a:r>
              <a:rPr lang="en-US" altLang="zh-CN" baseline="0"/>
              <a:t>put</a:t>
            </a:r>
            <a:r>
              <a:rPr lang="zh-CN" altLang="en-US" baseline="0"/>
              <a:t> </a:t>
            </a:r>
            <a:r>
              <a:rPr lang="en-US" altLang="zh-CN" baseline="0"/>
              <a:t>Options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Comparsion!$C$8</c:f>
              <c:strCache>
                <c:ptCount val="1"/>
                <c:pt idx="0">
                  <c:v>Vega(out)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Comparsion!$C$9:$C$32</c:f>
              <c:numCache>
                <c:formatCode>General</c:formatCode>
                <c:ptCount val="24"/>
                <c:pt idx="0">
                  <c:v>-0.182424422</c:v>
                </c:pt>
                <c:pt idx="1">
                  <c:v>0.13087179400000001</c:v>
                </c:pt>
                <c:pt idx="2">
                  <c:v>-0.20780333300000001</c:v>
                </c:pt>
                <c:pt idx="3">
                  <c:v>0.120431305</c:v>
                </c:pt>
                <c:pt idx="4">
                  <c:v>-0.29499144799999999</c:v>
                </c:pt>
                <c:pt idx="5">
                  <c:v>5.7117792000000001E-2</c:v>
                </c:pt>
                <c:pt idx="6">
                  <c:v>-0.16160342899999999</c:v>
                </c:pt>
                <c:pt idx="7">
                  <c:v>-0.25411981099999997</c:v>
                </c:pt>
                <c:pt idx="8">
                  <c:v>5.6576359999999999E-2</c:v>
                </c:pt>
                <c:pt idx="9">
                  <c:v>-0.32436322499999998</c:v>
                </c:pt>
                <c:pt idx="10">
                  <c:v>-0.29051126700000002</c:v>
                </c:pt>
                <c:pt idx="11">
                  <c:v>0.15039624200000001</c:v>
                </c:pt>
                <c:pt idx="12">
                  <c:v>-0.15573316500000001</c:v>
                </c:pt>
                <c:pt idx="13">
                  <c:v>1.1063122E-2</c:v>
                </c:pt>
                <c:pt idx="14">
                  <c:v>-8.8755047000000004E-2</c:v>
                </c:pt>
                <c:pt idx="15">
                  <c:v>1.4013166000000001E-2</c:v>
                </c:pt>
                <c:pt idx="16">
                  <c:v>-3.4953020000000001E-2</c:v>
                </c:pt>
                <c:pt idx="17">
                  <c:v>-0.12503036000000001</c:v>
                </c:pt>
                <c:pt idx="18">
                  <c:v>-7.6329907000000002E-2</c:v>
                </c:pt>
                <c:pt idx="19">
                  <c:v>-8.4069394000000006E-2</c:v>
                </c:pt>
                <c:pt idx="20">
                  <c:v>0.52983620499999995</c:v>
                </c:pt>
                <c:pt idx="21">
                  <c:v>4.1417765000000002E-2</c:v>
                </c:pt>
                <c:pt idx="22">
                  <c:v>0.165935271</c:v>
                </c:pt>
                <c:pt idx="23">
                  <c:v>0.23657252400000001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08-634E-98BD-68707F85D923}"/>
            </c:ext>
          </c:extLst>
        </c:ser>
        <c:ser>
          <c:idx val="1"/>
          <c:order val="1"/>
          <c:tx>
            <c:strRef>
              <c:f>Comparsion!$I$8</c:f>
              <c:strCache>
                <c:ptCount val="1"/>
                <c:pt idx="0">
                  <c:v>Vega(In)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Comparsion!$I$9:$I$32</c:f>
              <c:numCache>
                <c:formatCode>General</c:formatCode>
                <c:ptCount val="24"/>
                <c:pt idx="0">
                  <c:v>83.983905429999993</c:v>
                </c:pt>
                <c:pt idx="1">
                  <c:v>94.963294910000002</c:v>
                </c:pt>
                <c:pt idx="2">
                  <c:v>88.217485400000001</c:v>
                </c:pt>
                <c:pt idx="3">
                  <c:v>76.544117679999999</c:v>
                </c:pt>
                <c:pt idx="4">
                  <c:v>112.79421170000001</c:v>
                </c:pt>
                <c:pt idx="5">
                  <c:v>72.562760389999994</c:v>
                </c:pt>
                <c:pt idx="6">
                  <c:v>76.184011889999994</c:v>
                </c:pt>
                <c:pt idx="7">
                  <c:v>67.389374619999998</c:v>
                </c:pt>
                <c:pt idx="8">
                  <c:v>53.464096159999997</c:v>
                </c:pt>
                <c:pt idx="9">
                  <c:v>6.859290154</c:v>
                </c:pt>
                <c:pt idx="10">
                  <c:v>-2.8722992629999999</c:v>
                </c:pt>
                <c:pt idx="11">
                  <c:v>15.21077536</c:v>
                </c:pt>
                <c:pt idx="12">
                  <c:v>37.538136170000001</c:v>
                </c:pt>
                <c:pt idx="13">
                  <c:v>74.018147839999997</c:v>
                </c:pt>
                <c:pt idx="14">
                  <c:v>64.943776889999995</c:v>
                </c:pt>
                <c:pt idx="15">
                  <c:v>76.361237759999995</c:v>
                </c:pt>
                <c:pt idx="16">
                  <c:v>69.302149760000006</c:v>
                </c:pt>
                <c:pt idx="17">
                  <c:v>30.867676899999999</c:v>
                </c:pt>
                <c:pt idx="18">
                  <c:v>37.914710380000002</c:v>
                </c:pt>
                <c:pt idx="19">
                  <c:v>12.890348619999999</c:v>
                </c:pt>
                <c:pt idx="20">
                  <c:v>67.685926379999998</c:v>
                </c:pt>
                <c:pt idx="21">
                  <c:v>65.704217349999993</c:v>
                </c:pt>
                <c:pt idx="22">
                  <c:v>83.7155822</c:v>
                </c:pt>
                <c:pt idx="23">
                  <c:v>84.035104160000003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08-634E-98BD-68707F85D923}"/>
            </c:ext>
          </c:extLst>
        </c:ser>
        <c:ser>
          <c:idx val="2"/>
          <c:order val="2"/>
          <c:tx>
            <c:strRef>
              <c:f>Comparsion!$O$8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Comparsion!$O$9:$O$32</c:f>
              <c:numCache>
                <c:formatCode>General</c:formatCode>
                <c:ptCount val="24"/>
                <c:pt idx="0">
                  <c:v>19.80533325</c:v>
                </c:pt>
                <c:pt idx="1">
                  <c:v>22.12154911</c:v>
                </c:pt>
                <c:pt idx="2">
                  <c:v>20.27972493</c:v>
                </c:pt>
                <c:pt idx="3">
                  <c:v>17.79378414</c:v>
                </c:pt>
                <c:pt idx="4">
                  <c:v>23.272633620000001</c:v>
                </c:pt>
                <c:pt idx="5">
                  <c:v>18.139408700000001</c:v>
                </c:pt>
                <c:pt idx="6">
                  <c:v>20.908235300000001</c:v>
                </c:pt>
                <c:pt idx="7">
                  <c:v>19.300932039999999</c:v>
                </c:pt>
                <c:pt idx="8">
                  <c:v>18.529778279999999</c:v>
                </c:pt>
                <c:pt idx="9">
                  <c:v>6.5559503330000002</c:v>
                </c:pt>
                <c:pt idx="10">
                  <c:v>0.57219044799999996</c:v>
                </c:pt>
                <c:pt idx="11">
                  <c:v>7.1315259170000003</c:v>
                </c:pt>
                <c:pt idx="12">
                  <c:v>16.6267745</c:v>
                </c:pt>
                <c:pt idx="13">
                  <c:v>22.227590169999999</c:v>
                </c:pt>
                <c:pt idx="14">
                  <c:v>20.426849990000001</c:v>
                </c:pt>
                <c:pt idx="15">
                  <c:v>23.636031079999999</c:v>
                </c:pt>
                <c:pt idx="16">
                  <c:v>24.34684481</c:v>
                </c:pt>
                <c:pt idx="17">
                  <c:v>14.6270656</c:v>
                </c:pt>
                <c:pt idx="18">
                  <c:v>19.413117230000001</c:v>
                </c:pt>
                <c:pt idx="19">
                  <c:v>12.42059296</c:v>
                </c:pt>
                <c:pt idx="20">
                  <c:v>25.983280870000002</c:v>
                </c:pt>
                <c:pt idx="21">
                  <c:v>24.62641765</c:v>
                </c:pt>
                <c:pt idx="22">
                  <c:v>25.23002052</c:v>
                </c:pt>
                <c:pt idx="23">
                  <c:v>23.647632130000002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08-634E-98BD-68707F85D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862447"/>
        <c:axId val="937396687"/>
      </c:lineChart>
      <c:catAx>
        <c:axId val="8928624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96687"/>
        <c:crosses val="autoZero"/>
        <c:auto val="1"/>
        <c:lblAlgn val="ctr"/>
        <c:lblOffset val="100"/>
        <c:noMultiLvlLbl val="0"/>
      </c:catAx>
      <c:valAx>
        <c:axId val="937396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862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0" i="0" baseline="0">
                <a:effectLst/>
              </a:rPr>
              <a:t>Theta</a:t>
            </a:r>
            <a:r>
              <a:rPr lang="zh-CN" altLang="en-US" sz="1800" b="0" i="0" baseline="0">
                <a:effectLst/>
              </a:rPr>
              <a:t> </a:t>
            </a:r>
            <a:r>
              <a:rPr lang="en-US" sz="1800" b="0" i="0" baseline="0">
                <a:effectLst/>
              </a:rPr>
              <a:t>for</a:t>
            </a:r>
            <a:r>
              <a:rPr lang="zh-CN" sz="1800" b="0" i="0" baseline="0">
                <a:effectLst/>
              </a:rPr>
              <a:t> </a:t>
            </a:r>
            <a:r>
              <a:rPr lang="en-US" sz="1800" b="0" i="0" baseline="0">
                <a:effectLst/>
              </a:rPr>
              <a:t>Gamma</a:t>
            </a:r>
            <a:r>
              <a:rPr lang="zh-CN" sz="1800" b="0" i="0" baseline="0">
                <a:effectLst/>
              </a:rPr>
              <a:t> </a:t>
            </a:r>
            <a:r>
              <a:rPr lang="en-US" sz="1800" b="0" i="0" baseline="0">
                <a:effectLst/>
              </a:rPr>
              <a:t>with</a:t>
            </a:r>
            <a:r>
              <a:rPr lang="zh-CN" sz="1800" b="0" i="0" baseline="0">
                <a:effectLst/>
              </a:rPr>
              <a:t> </a:t>
            </a:r>
            <a:r>
              <a:rPr lang="en-US" sz="1800" b="0" i="0" baseline="0">
                <a:effectLst/>
              </a:rPr>
              <a:t>diff</a:t>
            </a:r>
            <a:r>
              <a:rPr lang="zh-CN" sz="1800" b="0" i="0" baseline="0">
                <a:effectLst/>
              </a:rPr>
              <a:t> </a:t>
            </a:r>
            <a:r>
              <a:rPr lang="en-US" sz="1800" b="0" i="0" baseline="0">
                <a:effectLst/>
              </a:rPr>
              <a:t>put</a:t>
            </a:r>
            <a:r>
              <a:rPr lang="zh-CN" sz="1800" b="0" i="0" baseline="0">
                <a:effectLst/>
              </a:rPr>
              <a:t> </a:t>
            </a:r>
            <a:r>
              <a:rPr lang="en-US" sz="1800" b="0" i="0" baseline="0">
                <a:effectLst/>
              </a:rPr>
              <a:t>Options</a:t>
            </a:r>
            <a:endParaRPr lang="en-HK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Comparsion!$D$8</c:f>
              <c:strCache>
                <c:ptCount val="1"/>
                <c:pt idx="0">
                  <c:v>Theta(out)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Comparsion!$D$9:$D$32</c:f>
              <c:numCache>
                <c:formatCode>General</c:formatCode>
                <c:ptCount val="24"/>
                <c:pt idx="0">
                  <c:v>37.245474119999997</c:v>
                </c:pt>
                <c:pt idx="1">
                  <c:v>39.990898799999997</c:v>
                </c:pt>
                <c:pt idx="2">
                  <c:v>37.080165289999997</c:v>
                </c:pt>
                <c:pt idx="3">
                  <c:v>28.609790369999999</c:v>
                </c:pt>
                <c:pt idx="4">
                  <c:v>36.283651769999999</c:v>
                </c:pt>
                <c:pt idx="5">
                  <c:v>28.123213669999998</c:v>
                </c:pt>
                <c:pt idx="6">
                  <c:v>30.88927632</c:v>
                </c:pt>
                <c:pt idx="7">
                  <c:v>28.557379489999999</c:v>
                </c:pt>
                <c:pt idx="8">
                  <c:v>24.380251019999999</c:v>
                </c:pt>
                <c:pt idx="9">
                  <c:v>17.424641269999999</c:v>
                </c:pt>
                <c:pt idx="10">
                  <c:v>13.446066</c:v>
                </c:pt>
                <c:pt idx="11">
                  <c:v>21.936775730000001</c:v>
                </c:pt>
                <c:pt idx="12">
                  <c:v>25.745981960000002</c:v>
                </c:pt>
                <c:pt idx="13">
                  <c:v>30.251247790000001</c:v>
                </c:pt>
                <c:pt idx="14">
                  <c:v>27.688794720000001</c:v>
                </c:pt>
                <c:pt idx="15">
                  <c:v>28.656760309999999</c:v>
                </c:pt>
                <c:pt idx="16">
                  <c:v>24.686144500000001</c:v>
                </c:pt>
                <c:pt idx="17">
                  <c:v>19.565057370000002</c:v>
                </c:pt>
                <c:pt idx="18">
                  <c:v>20.12582656</c:v>
                </c:pt>
                <c:pt idx="19">
                  <c:v>14.640867330000001</c:v>
                </c:pt>
                <c:pt idx="20">
                  <c:v>21.721732589999998</c:v>
                </c:pt>
                <c:pt idx="21">
                  <c:v>25.460592590000001</c:v>
                </c:pt>
                <c:pt idx="22">
                  <c:v>29.4480465</c:v>
                </c:pt>
                <c:pt idx="23">
                  <c:v>31.267707080000001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20-D244-8BFE-CFA1C70B5CDB}"/>
            </c:ext>
          </c:extLst>
        </c:ser>
        <c:ser>
          <c:idx val="1"/>
          <c:order val="1"/>
          <c:tx>
            <c:strRef>
              <c:f>Comparsion!$J$8</c:f>
              <c:strCache>
                <c:ptCount val="1"/>
                <c:pt idx="0">
                  <c:v>Theta(In)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Comparsion!$J$9:$J$32</c:f>
              <c:numCache>
                <c:formatCode>General</c:formatCode>
                <c:ptCount val="24"/>
                <c:pt idx="0">
                  <c:v>-217.20546870000001</c:v>
                </c:pt>
                <c:pt idx="1">
                  <c:v>-244.56576459999999</c:v>
                </c:pt>
                <c:pt idx="2">
                  <c:v>-241.98409839999999</c:v>
                </c:pt>
                <c:pt idx="3">
                  <c:v>-253.57422120000001</c:v>
                </c:pt>
                <c:pt idx="4">
                  <c:v>-341.71536750000001</c:v>
                </c:pt>
                <c:pt idx="5">
                  <c:v>-296.23013709999998</c:v>
                </c:pt>
                <c:pt idx="6">
                  <c:v>-302.56917720000001</c:v>
                </c:pt>
                <c:pt idx="7">
                  <c:v>-264.26391539999997</c:v>
                </c:pt>
                <c:pt idx="8">
                  <c:v>-174.06583560000001</c:v>
                </c:pt>
                <c:pt idx="9">
                  <c:v>26.582419850000001</c:v>
                </c:pt>
                <c:pt idx="10">
                  <c:v>53.631623779999998</c:v>
                </c:pt>
                <c:pt idx="11">
                  <c:v>-20.766295960000001</c:v>
                </c:pt>
                <c:pt idx="12">
                  <c:v>-129.95692650000001</c:v>
                </c:pt>
                <c:pt idx="13">
                  <c:v>-302.9303893</c:v>
                </c:pt>
                <c:pt idx="14">
                  <c:v>-270.69330109999999</c:v>
                </c:pt>
                <c:pt idx="15">
                  <c:v>-326.94044719999999</c:v>
                </c:pt>
                <c:pt idx="16">
                  <c:v>-241.37160420000001</c:v>
                </c:pt>
                <c:pt idx="17">
                  <c:v>-74.857073360000001</c:v>
                </c:pt>
                <c:pt idx="18">
                  <c:v>-97.014389679999994</c:v>
                </c:pt>
                <c:pt idx="19">
                  <c:v>26.824119920000001</c:v>
                </c:pt>
                <c:pt idx="20">
                  <c:v>-291.9955698</c:v>
                </c:pt>
                <c:pt idx="21">
                  <c:v>-325.46873040000003</c:v>
                </c:pt>
                <c:pt idx="22">
                  <c:v>-462.50021049999998</c:v>
                </c:pt>
                <c:pt idx="23">
                  <c:v>-506.21134660000001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20-D244-8BFE-CFA1C70B5CDB}"/>
            </c:ext>
          </c:extLst>
        </c:ser>
        <c:ser>
          <c:idx val="2"/>
          <c:order val="2"/>
          <c:tx>
            <c:strRef>
              <c:f>Comparsion!$P$8</c:f>
              <c:strCache>
                <c:ptCount val="1"/>
                <c:pt idx="0">
                  <c:v>Theta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Comparsion!$P$9:$P$32</c:f>
              <c:numCache>
                <c:formatCode>General</c:formatCode>
                <c:ptCount val="24"/>
                <c:pt idx="0">
                  <c:v>-29.121162349999999</c:v>
                </c:pt>
                <c:pt idx="1">
                  <c:v>-32.653111940000002</c:v>
                </c:pt>
                <c:pt idx="2">
                  <c:v>-34.431297049999998</c:v>
                </c:pt>
                <c:pt idx="3">
                  <c:v>-45.793623099999998</c:v>
                </c:pt>
                <c:pt idx="4">
                  <c:v>-54.181379790000001</c:v>
                </c:pt>
                <c:pt idx="5">
                  <c:v>-64.28299355</c:v>
                </c:pt>
                <c:pt idx="6">
                  <c:v>-73.402937030000004</c:v>
                </c:pt>
                <c:pt idx="7">
                  <c:v>-69.339689289999995</c:v>
                </c:pt>
                <c:pt idx="8">
                  <c:v>-57.926309000000003</c:v>
                </c:pt>
                <c:pt idx="9">
                  <c:v>-3.5094203450000001</c:v>
                </c:pt>
                <c:pt idx="10">
                  <c:v>14.973507959999999</c:v>
                </c:pt>
                <c:pt idx="11">
                  <c:v>-6.7887571790000001</c:v>
                </c:pt>
                <c:pt idx="12">
                  <c:v>-56.156356170000002</c:v>
                </c:pt>
                <c:pt idx="13">
                  <c:v>-84.161897010000004</c:v>
                </c:pt>
                <c:pt idx="14">
                  <c:v>-82.829334230000001</c:v>
                </c:pt>
                <c:pt idx="15">
                  <c:v>-100.80779459999999</c:v>
                </c:pt>
                <c:pt idx="16">
                  <c:v>-96.370032089999995</c:v>
                </c:pt>
                <c:pt idx="17">
                  <c:v>-55.069376159999997</c:v>
                </c:pt>
                <c:pt idx="18">
                  <c:v>-74.753979479999998</c:v>
                </c:pt>
                <c:pt idx="19">
                  <c:v>-37.579998029999999</c:v>
                </c:pt>
                <c:pt idx="20">
                  <c:v>-127.76790010000001</c:v>
                </c:pt>
                <c:pt idx="21">
                  <c:v>-135.55954600000001</c:v>
                </c:pt>
                <c:pt idx="22">
                  <c:v>-145.0154517</c:v>
                </c:pt>
                <c:pt idx="23">
                  <c:v>-143.54399230000001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20-D244-8BFE-CFA1C70B5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242415"/>
        <c:axId val="967776879"/>
      </c:lineChart>
      <c:catAx>
        <c:axId val="8922424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7776879"/>
        <c:crosses val="autoZero"/>
        <c:auto val="1"/>
        <c:lblAlgn val="ctr"/>
        <c:lblOffset val="100"/>
        <c:noMultiLvlLbl val="0"/>
      </c:catAx>
      <c:valAx>
        <c:axId val="967776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24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 </a:t>
            </a:r>
            <a:r>
              <a:rPr lang="en-US" altLang="zh-CN"/>
              <a:t>Rho</a:t>
            </a:r>
            <a:r>
              <a:rPr lang="zh-CN" altLang="en-US"/>
              <a:t> </a:t>
            </a:r>
            <a:r>
              <a:rPr lang="en-US" sz="1800" b="0" i="0" u="none" strike="noStrike" baseline="0">
                <a:effectLst/>
              </a:rPr>
              <a:t>for</a:t>
            </a:r>
            <a:r>
              <a:rPr lang="en-US" altLang="zh-CN" sz="1800" b="0" i="0" u="none" strike="noStrike" baseline="0">
                <a:effectLst/>
              </a:rPr>
              <a:t> </a:t>
            </a:r>
            <a:r>
              <a:rPr lang="en-US" sz="1800" b="0" i="0" u="none" strike="noStrike" baseline="0">
                <a:effectLst/>
              </a:rPr>
              <a:t>Gamma</a:t>
            </a:r>
            <a:r>
              <a:rPr lang="en-US" altLang="zh-CN" sz="1800" b="0" i="0" u="none" strike="noStrike" baseline="0">
                <a:effectLst/>
              </a:rPr>
              <a:t> </a:t>
            </a:r>
            <a:r>
              <a:rPr lang="en-US" sz="1800" b="0" i="0" u="none" strike="noStrike" baseline="0">
                <a:effectLst/>
              </a:rPr>
              <a:t>with</a:t>
            </a:r>
            <a:r>
              <a:rPr lang="en-US" altLang="zh-CN" sz="1800" b="0" i="0" u="none" strike="noStrike" baseline="0">
                <a:effectLst/>
              </a:rPr>
              <a:t> </a:t>
            </a:r>
            <a:r>
              <a:rPr lang="en-US" sz="1800" b="0" i="0" u="none" strike="noStrike" baseline="0">
                <a:effectLst/>
              </a:rPr>
              <a:t>diff</a:t>
            </a:r>
            <a:r>
              <a:rPr lang="en-US" altLang="zh-CN" sz="1800" b="0" i="0" u="none" strike="noStrike" baseline="0">
                <a:effectLst/>
              </a:rPr>
              <a:t> </a:t>
            </a:r>
            <a:r>
              <a:rPr lang="en-US" sz="1800" b="0" i="0" u="none" strike="noStrike" baseline="0">
                <a:effectLst/>
              </a:rPr>
              <a:t>put</a:t>
            </a:r>
            <a:r>
              <a:rPr lang="en-US" altLang="zh-CN" sz="1800" b="0" i="0" u="none" strike="noStrike" baseline="0">
                <a:effectLst/>
              </a:rPr>
              <a:t> </a:t>
            </a:r>
            <a:r>
              <a:rPr lang="en-US" sz="1800" b="0" i="0" u="none" strike="noStrike" baseline="0">
                <a:effectLst/>
              </a:rPr>
              <a:t>Options</a:t>
            </a:r>
            <a:r>
              <a:rPr lang="en-US" sz="1800" b="1" i="0" u="none" strike="noStrike" baseline="0"/>
              <a:t> </a:t>
            </a:r>
            <a:endParaRPr lang="en-GB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Comparsion!$E$8</c:f>
              <c:strCache>
                <c:ptCount val="1"/>
                <c:pt idx="0">
                  <c:v>Rho(out)</c:v>
                </c:pt>
              </c:strCache>
            </c:strRef>
          </c:tx>
          <c:marker>
            <c:symbol val="none"/>
          </c:marker>
          <c:val>
            <c:numRef>
              <c:f>Comparsion!$E$9:$E$32</c:f>
              <c:numCache>
                <c:formatCode>General</c:formatCode>
                <c:ptCount val="24"/>
                <c:pt idx="0">
                  <c:v>317.79685499999999</c:v>
                </c:pt>
                <c:pt idx="1">
                  <c:v>327.53528899999998</c:v>
                </c:pt>
                <c:pt idx="2">
                  <c:v>303.605842</c:v>
                </c:pt>
                <c:pt idx="3">
                  <c:v>271.55005399999999</c:v>
                </c:pt>
                <c:pt idx="4">
                  <c:v>287.16383999999999</c:v>
                </c:pt>
                <c:pt idx="5">
                  <c:v>250.11436699999999</c:v>
                </c:pt>
                <c:pt idx="6">
                  <c:v>247.58677499999999</c:v>
                </c:pt>
                <c:pt idx="7">
                  <c:v>228.71678299999999</c:v>
                </c:pt>
                <c:pt idx="8">
                  <c:v>203.07905400000001</c:v>
                </c:pt>
                <c:pt idx="9">
                  <c:v>136.23404300000001</c:v>
                </c:pt>
                <c:pt idx="10">
                  <c:v>99.460626599999998</c:v>
                </c:pt>
                <c:pt idx="11">
                  <c:v>159.45405</c:v>
                </c:pt>
                <c:pt idx="12">
                  <c:v>168.51950400000001</c:v>
                </c:pt>
                <c:pt idx="13">
                  <c:v>186.61403100000001</c:v>
                </c:pt>
                <c:pt idx="14">
                  <c:v>168.87502699999999</c:v>
                </c:pt>
                <c:pt idx="15">
                  <c:v>156.25887900000001</c:v>
                </c:pt>
                <c:pt idx="16">
                  <c:v>130.966578</c:v>
                </c:pt>
                <c:pt idx="17">
                  <c:v>102.965057</c:v>
                </c:pt>
                <c:pt idx="18">
                  <c:v>100.45455</c:v>
                </c:pt>
                <c:pt idx="19">
                  <c:v>70.702857499999993</c:v>
                </c:pt>
                <c:pt idx="20">
                  <c:v>103.81494000000001</c:v>
                </c:pt>
                <c:pt idx="21">
                  <c:v>102.261522</c:v>
                </c:pt>
                <c:pt idx="22">
                  <c:v>112.45990999999999</c:v>
                </c:pt>
                <c:pt idx="23">
                  <c:v>114.070395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CA2-A147-911D-C23BF5221542}"/>
            </c:ext>
          </c:extLst>
        </c:ser>
        <c:ser>
          <c:idx val="4"/>
          <c:order val="1"/>
          <c:tx>
            <c:strRef>
              <c:f>Comparsion!$K$8</c:f>
              <c:strCache>
                <c:ptCount val="1"/>
                <c:pt idx="0">
                  <c:v>Rho(in)</c:v>
                </c:pt>
              </c:strCache>
            </c:strRef>
          </c:tx>
          <c:marker>
            <c:symbol val="none"/>
          </c:marker>
          <c:val>
            <c:numRef>
              <c:f>Comparsion!$K$9:$K$32</c:f>
              <c:numCache>
                <c:formatCode>General</c:formatCode>
                <c:ptCount val="24"/>
                <c:pt idx="0">
                  <c:v>412.74667699999998</c:v>
                </c:pt>
                <c:pt idx="1">
                  <c:v>384.18830800000001</c:v>
                </c:pt>
                <c:pt idx="2">
                  <c:v>396.10523899999998</c:v>
                </c:pt>
                <c:pt idx="3">
                  <c:v>460.74919699999998</c:v>
                </c:pt>
                <c:pt idx="4">
                  <c:v>379.29138399999999</c:v>
                </c:pt>
                <c:pt idx="5">
                  <c:v>433.11845699999998</c:v>
                </c:pt>
                <c:pt idx="6">
                  <c:v>400.71571399999999</c:v>
                </c:pt>
                <c:pt idx="7">
                  <c:v>446.96991200000002</c:v>
                </c:pt>
                <c:pt idx="8">
                  <c:v>498.93381199999999</c:v>
                </c:pt>
                <c:pt idx="9">
                  <c:v>528.19151099999999</c:v>
                </c:pt>
                <c:pt idx="10">
                  <c:v>404.70266600000002</c:v>
                </c:pt>
                <c:pt idx="11">
                  <c:v>398.827045</c:v>
                </c:pt>
                <c:pt idx="12">
                  <c:v>393.17657600000001</c:v>
                </c:pt>
                <c:pt idx="13">
                  <c:v>327.90709700000002</c:v>
                </c:pt>
                <c:pt idx="14">
                  <c:v>370.19861400000002</c:v>
                </c:pt>
                <c:pt idx="15">
                  <c:v>321.39557400000001</c:v>
                </c:pt>
                <c:pt idx="16">
                  <c:v>436.58032800000001</c:v>
                </c:pt>
                <c:pt idx="17">
                  <c:v>514.64669000000004</c:v>
                </c:pt>
                <c:pt idx="18">
                  <c:v>491.74480799999998</c:v>
                </c:pt>
                <c:pt idx="19">
                  <c:v>500.38733999999999</c:v>
                </c:pt>
                <c:pt idx="20">
                  <c:v>328.13889899999998</c:v>
                </c:pt>
                <c:pt idx="21">
                  <c:v>296.01532099999997</c:v>
                </c:pt>
                <c:pt idx="22">
                  <c:v>214.394755</c:v>
                </c:pt>
                <c:pt idx="23">
                  <c:v>183.656677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CA2-A147-911D-C23BF5221542}"/>
            </c:ext>
          </c:extLst>
        </c:ser>
        <c:ser>
          <c:idx val="5"/>
          <c:order val="2"/>
          <c:tx>
            <c:strRef>
              <c:f>Comparsion!$Q$8</c:f>
              <c:strCache>
                <c:ptCount val="1"/>
                <c:pt idx="0">
                  <c:v>Rho</c:v>
                </c:pt>
              </c:strCache>
            </c:strRef>
          </c:tx>
          <c:marker>
            <c:symbol val="none"/>
          </c:marker>
          <c:val>
            <c:numRef>
              <c:f>Comparsion!$Q$9:$Q$32</c:f>
              <c:numCache>
                <c:formatCode>General</c:formatCode>
                <c:ptCount val="24"/>
                <c:pt idx="0">
                  <c:v>335.50444800000002</c:v>
                </c:pt>
                <c:pt idx="1">
                  <c:v>339.31890399999997</c:v>
                </c:pt>
                <c:pt idx="2">
                  <c:v>320.61241200000001</c:v>
                </c:pt>
                <c:pt idx="3">
                  <c:v>298.55370099999999</c:v>
                </c:pt>
                <c:pt idx="4">
                  <c:v>302.92942699999998</c:v>
                </c:pt>
                <c:pt idx="5">
                  <c:v>274.88227699999999</c:v>
                </c:pt>
                <c:pt idx="6">
                  <c:v>268.417013</c:v>
                </c:pt>
                <c:pt idx="7">
                  <c:v>254.963256</c:v>
                </c:pt>
                <c:pt idx="8">
                  <c:v>235.66305</c:v>
                </c:pt>
                <c:pt idx="9">
                  <c:v>189.76635999999999</c:v>
                </c:pt>
                <c:pt idx="10">
                  <c:v>147.920613</c:v>
                </c:pt>
                <c:pt idx="11">
                  <c:v>194.188367</c:v>
                </c:pt>
                <c:pt idx="12">
                  <c:v>195.88497699999999</c:v>
                </c:pt>
                <c:pt idx="13">
                  <c:v>203.20860400000001</c:v>
                </c:pt>
                <c:pt idx="14">
                  <c:v>189.66549599999999</c:v>
                </c:pt>
                <c:pt idx="15">
                  <c:v>171.80429799999999</c:v>
                </c:pt>
                <c:pt idx="16">
                  <c:v>150.355446</c:v>
                </c:pt>
                <c:pt idx="17">
                  <c:v>133.47215700000001</c:v>
                </c:pt>
                <c:pt idx="18">
                  <c:v>125.58507</c:v>
                </c:pt>
                <c:pt idx="19">
                  <c:v>101.81666800000001</c:v>
                </c:pt>
                <c:pt idx="20">
                  <c:v>116.652485</c:v>
                </c:pt>
                <c:pt idx="21">
                  <c:v>114.353793</c:v>
                </c:pt>
                <c:pt idx="22">
                  <c:v>120.427453</c:v>
                </c:pt>
                <c:pt idx="23">
                  <c:v>120.6544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CA2-A147-911D-C23BF5221542}"/>
            </c:ext>
          </c:extLst>
        </c:ser>
        <c:ser>
          <c:idx val="0"/>
          <c:order val="3"/>
          <c:tx>
            <c:strRef>
              <c:f>Comparsion!$E$8</c:f>
              <c:strCache>
                <c:ptCount val="1"/>
                <c:pt idx="0">
                  <c:v>Rho(out)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Comparsion!$E$9:$E$32</c:f>
              <c:numCache>
                <c:formatCode>General</c:formatCode>
                <c:ptCount val="24"/>
                <c:pt idx="0">
                  <c:v>317.79685499999999</c:v>
                </c:pt>
                <c:pt idx="1">
                  <c:v>327.53528899999998</c:v>
                </c:pt>
                <c:pt idx="2">
                  <c:v>303.605842</c:v>
                </c:pt>
                <c:pt idx="3">
                  <c:v>271.55005399999999</c:v>
                </c:pt>
                <c:pt idx="4">
                  <c:v>287.16383999999999</c:v>
                </c:pt>
                <c:pt idx="5">
                  <c:v>250.11436699999999</c:v>
                </c:pt>
                <c:pt idx="6">
                  <c:v>247.58677499999999</c:v>
                </c:pt>
                <c:pt idx="7">
                  <c:v>228.71678299999999</c:v>
                </c:pt>
                <c:pt idx="8">
                  <c:v>203.07905400000001</c:v>
                </c:pt>
                <c:pt idx="9">
                  <c:v>136.23404300000001</c:v>
                </c:pt>
                <c:pt idx="10">
                  <c:v>99.460626599999998</c:v>
                </c:pt>
                <c:pt idx="11">
                  <c:v>159.45405</c:v>
                </c:pt>
                <c:pt idx="12">
                  <c:v>168.51950400000001</c:v>
                </c:pt>
                <c:pt idx="13">
                  <c:v>186.61403100000001</c:v>
                </c:pt>
                <c:pt idx="14">
                  <c:v>168.87502699999999</c:v>
                </c:pt>
                <c:pt idx="15">
                  <c:v>156.25887900000001</c:v>
                </c:pt>
                <c:pt idx="16">
                  <c:v>130.966578</c:v>
                </c:pt>
                <c:pt idx="17">
                  <c:v>102.965057</c:v>
                </c:pt>
                <c:pt idx="18">
                  <c:v>100.45455</c:v>
                </c:pt>
                <c:pt idx="19">
                  <c:v>70.702857499999993</c:v>
                </c:pt>
                <c:pt idx="20">
                  <c:v>103.81494000000001</c:v>
                </c:pt>
                <c:pt idx="21">
                  <c:v>102.261522</c:v>
                </c:pt>
                <c:pt idx="22">
                  <c:v>112.45990999999999</c:v>
                </c:pt>
                <c:pt idx="23">
                  <c:v>114.070395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A2-A147-911D-C23BF5221542}"/>
            </c:ext>
          </c:extLst>
        </c:ser>
        <c:ser>
          <c:idx val="1"/>
          <c:order val="4"/>
          <c:tx>
            <c:strRef>
              <c:f>Comparsion!$K$8</c:f>
              <c:strCache>
                <c:ptCount val="1"/>
                <c:pt idx="0">
                  <c:v>Rho(in)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Comparsion!$K$9:$K$32</c:f>
              <c:numCache>
                <c:formatCode>General</c:formatCode>
                <c:ptCount val="24"/>
                <c:pt idx="0">
                  <c:v>412.74667699999998</c:v>
                </c:pt>
                <c:pt idx="1">
                  <c:v>384.18830800000001</c:v>
                </c:pt>
                <c:pt idx="2">
                  <c:v>396.10523899999998</c:v>
                </c:pt>
                <c:pt idx="3">
                  <c:v>460.74919699999998</c:v>
                </c:pt>
                <c:pt idx="4">
                  <c:v>379.29138399999999</c:v>
                </c:pt>
                <c:pt idx="5">
                  <c:v>433.11845699999998</c:v>
                </c:pt>
                <c:pt idx="6">
                  <c:v>400.71571399999999</c:v>
                </c:pt>
                <c:pt idx="7">
                  <c:v>446.96991200000002</c:v>
                </c:pt>
                <c:pt idx="8">
                  <c:v>498.93381199999999</c:v>
                </c:pt>
                <c:pt idx="9">
                  <c:v>528.19151099999999</c:v>
                </c:pt>
                <c:pt idx="10">
                  <c:v>404.70266600000002</c:v>
                </c:pt>
                <c:pt idx="11">
                  <c:v>398.827045</c:v>
                </c:pt>
                <c:pt idx="12">
                  <c:v>393.17657600000001</c:v>
                </c:pt>
                <c:pt idx="13">
                  <c:v>327.90709700000002</c:v>
                </c:pt>
                <c:pt idx="14">
                  <c:v>370.19861400000002</c:v>
                </c:pt>
                <c:pt idx="15">
                  <c:v>321.39557400000001</c:v>
                </c:pt>
                <c:pt idx="16">
                  <c:v>436.58032800000001</c:v>
                </c:pt>
                <c:pt idx="17">
                  <c:v>514.64669000000004</c:v>
                </c:pt>
                <c:pt idx="18">
                  <c:v>491.74480799999998</c:v>
                </c:pt>
                <c:pt idx="19">
                  <c:v>500.38733999999999</c:v>
                </c:pt>
                <c:pt idx="20">
                  <c:v>328.13889899999998</c:v>
                </c:pt>
                <c:pt idx="21">
                  <c:v>296.01532099999997</c:v>
                </c:pt>
                <c:pt idx="22">
                  <c:v>214.394755</c:v>
                </c:pt>
                <c:pt idx="23">
                  <c:v>183.656677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CA2-A147-911D-C23BF5221542}"/>
            </c:ext>
          </c:extLst>
        </c:ser>
        <c:ser>
          <c:idx val="2"/>
          <c:order val="5"/>
          <c:tx>
            <c:strRef>
              <c:f>Comparsion!$Q$8</c:f>
              <c:strCache>
                <c:ptCount val="1"/>
                <c:pt idx="0">
                  <c:v>Rho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Comparsion!$Q$9:$Q$32</c:f>
              <c:numCache>
                <c:formatCode>General</c:formatCode>
                <c:ptCount val="24"/>
                <c:pt idx="0">
                  <c:v>335.50444800000002</c:v>
                </c:pt>
                <c:pt idx="1">
                  <c:v>339.31890399999997</c:v>
                </c:pt>
                <c:pt idx="2">
                  <c:v>320.61241200000001</c:v>
                </c:pt>
                <c:pt idx="3">
                  <c:v>298.55370099999999</c:v>
                </c:pt>
                <c:pt idx="4">
                  <c:v>302.92942699999998</c:v>
                </c:pt>
                <c:pt idx="5">
                  <c:v>274.88227699999999</c:v>
                </c:pt>
                <c:pt idx="6">
                  <c:v>268.417013</c:v>
                </c:pt>
                <c:pt idx="7">
                  <c:v>254.963256</c:v>
                </c:pt>
                <c:pt idx="8">
                  <c:v>235.66305</c:v>
                </c:pt>
                <c:pt idx="9">
                  <c:v>189.76635999999999</c:v>
                </c:pt>
                <c:pt idx="10">
                  <c:v>147.920613</c:v>
                </c:pt>
                <c:pt idx="11">
                  <c:v>194.188367</c:v>
                </c:pt>
                <c:pt idx="12">
                  <c:v>195.88497699999999</c:v>
                </c:pt>
                <c:pt idx="13">
                  <c:v>203.20860400000001</c:v>
                </c:pt>
                <c:pt idx="14">
                  <c:v>189.66549599999999</c:v>
                </c:pt>
                <c:pt idx="15">
                  <c:v>171.80429799999999</c:v>
                </c:pt>
                <c:pt idx="16">
                  <c:v>150.355446</c:v>
                </c:pt>
                <c:pt idx="17">
                  <c:v>133.47215700000001</c:v>
                </c:pt>
                <c:pt idx="18">
                  <c:v>125.58507</c:v>
                </c:pt>
                <c:pt idx="19">
                  <c:v>101.81666800000001</c:v>
                </c:pt>
                <c:pt idx="20">
                  <c:v>116.652485</c:v>
                </c:pt>
                <c:pt idx="21">
                  <c:v>114.353793</c:v>
                </c:pt>
                <c:pt idx="22">
                  <c:v>120.427453</c:v>
                </c:pt>
                <c:pt idx="23">
                  <c:v>120.6544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CA2-A147-911D-C23BF5221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1398399"/>
        <c:axId val="939443711"/>
      </c:lineChart>
      <c:catAx>
        <c:axId val="9313983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443711"/>
        <c:crosses val="autoZero"/>
        <c:auto val="1"/>
        <c:lblAlgn val="ctr"/>
        <c:lblOffset val="100"/>
        <c:noMultiLvlLbl val="0"/>
      </c:catAx>
      <c:valAx>
        <c:axId val="939443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398399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Our of the money put</a:t>
            </a:r>
            <a:r>
              <a:rPr lang="en-GB" baseline="0"/>
              <a:t> option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Simulate!$H$1:$H$501</c:f>
              <c:numCache>
                <c:formatCode>General</c:formatCode>
                <c:ptCount val="501"/>
                <c:pt idx="0">
                  <c:v>11.362464516255386</c:v>
                </c:pt>
                <c:pt idx="1">
                  <c:v>25.329486556491474</c:v>
                </c:pt>
                <c:pt idx="2">
                  <c:v>27.581918734154897</c:v>
                </c:pt>
                <c:pt idx="3">
                  <c:v>14.907397546709944</c:v>
                </c:pt>
                <c:pt idx="4">
                  <c:v>11.907744300158811</c:v>
                </c:pt>
                <c:pt idx="5">
                  <c:v>35.817208790693485</c:v>
                </c:pt>
                <c:pt idx="6">
                  <c:v>23.952731756487765</c:v>
                </c:pt>
                <c:pt idx="7">
                  <c:v>19.915082006426474</c:v>
                </c:pt>
                <c:pt idx="8">
                  <c:v>25.151491361448734</c:v>
                </c:pt>
                <c:pt idx="9">
                  <c:v>21.109941722333133</c:v>
                </c:pt>
                <c:pt idx="10">
                  <c:v>24.805830442207025</c:v>
                </c:pt>
                <c:pt idx="11">
                  <c:v>22.187700669472179</c:v>
                </c:pt>
                <c:pt idx="12">
                  <c:v>24.277183466269207</c:v>
                </c:pt>
                <c:pt idx="13">
                  <c:v>20.300127729520682</c:v>
                </c:pt>
                <c:pt idx="14">
                  <c:v>12.937123850472062</c:v>
                </c:pt>
                <c:pt idx="15">
                  <c:v>24.467051025309502</c:v>
                </c:pt>
                <c:pt idx="16">
                  <c:v>20.029148548107059</c:v>
                </c:pt>
                <c:pt idx="17">
                  <c:v>12.515568855014408</c:v>
                </c:pt>
                <c:pt idx="18">
                  <c:v>19.930202312601068</c:v>
                </c:pt>
                <c:pt idx="19">
                  <c:v>20.148524666345565</c:v>
                </c:pt>
                <c:pt idx="20">
                  <c:v>21.535678614929111</c:v>
                </c:pt>
                <c:pt idx="21">
                  <c:v>15.134718331570639</c:v>
                </c:pt>
                <c:pt idx="22">
                  <c:v>21.990038158888638</c:v>
                </c:pt>
                <c:pt idx="23">
                  <c:v>18.871908384321159</c:v>
                </c:pt>
                <c:pt idx="24">
                  <c:v>8.7527021559299101</c:v>
                </c:pt>
                <c:pt idx="25">
                  <c:v>25.106949627213453</c:v>
                </c:pt>
                <c:pt idx="26">
                  <c:v>17.413566550634187</c:v>
                </c:pt>
                <c:pt idx="27">
                  <c:v>16.323936396973522</c:v>
                </c:pt>
                <c:pt idx="28">
                  <c:v>18.894469615063144</c:v>
                </c:pt>
                <c:pt idx="29">
                  <c:v>17.665810612641963</c:v>
                </c:pt>
                <c:pt idx="30">
                  <c:v>22.090108916569534</c:v>
                </c:pt>
                <c:pt idx="31">
                  <c:v>15.85053491222925</c:v>
                </c:pt>
                <c:pt idx="32">
                  <c:v>16.760297739936959</c:v>
                </c:pt>
                <c:pt idx="33">
                  <c:v>19.787428994370657</c:v>
                </c:pt>
                <c:pt idx="34">
                  <c:v>15.388010865319529</c:v>
                </c:pt>
                <c:pt idx="35">
                  <c:v>24.389308004528857</c:v>
                </c:pt>
                <c:pt idx="36">
                  <c:v>23.658451336095823</c:v>
                </c:pt>
                <c:pt idx="37">
                  <c:v>18.503662545602765</c:v>
                </c:pt>
                <c:pt idx="38">
                  <c:v>20.616098798045186</c:v>
                </c:pt>
                <c:pt idx="39">
                  <c:v>17.171354912813968</c:v>
                </c:pt>
                <c:pt idx="40">
                  <c:v>22.904007049581196</c:v>
                </c:pt>
                <c:pt idx="41">
                  <c:v>25.669752920574638</c:v>
                </c:pt>
                <c:pt idx="42">
                  <c:v>16.734904468691639</c:v>
                </c:pt>
                <c:pt idx="43">
                  <c:v>18.24489163946464</c:v>
                </c:pt>
                <c:pt idx="44">
                  <c:v>16.353293037367621</c:v>
                </c:pt>
                <c:pt idx="45">
                  <c:v>19.306032353530327</c:v>
                </c:pt>
                <c:pt idx="46">
                  <c:v>17.660264975980226</c:v>
                </c:pt>
                <c:pt idx="47">
                  <c:v>18.060618733898082</c:v>
                </c:pt>
                <c:pt idx="48">
                  <c:v>20.601753468956758</c:v>
                </c:pt>
                <c:pt idx="49">
                  <c:v>15.434631772664488</c:v>
                </c:pt>
                <c:pt idx="50">
                  <c:v>24.854625257766884</c:v>
                </c:pt>
                <c:pt idx="51">
                  <c:v>22.408168843809563</c:v>
                </c:pt>
                <c:pt idx="52">
                  <c:v>21.825328655792873</c:v>
                </c:pt>
                <c:pt idx="53">
                  <c:v>27.228793753971786</c:v>
                </c:pt>
                <c:pt idx="54">
                  <c:v>24.943796586658664</c:v>
                </c:pt>
                <c:pt idx="55">
                  <c:v>19.532150289673154</c:v>
                </c:pt>
                <c:pt idx="56">
                  <c:v>22.298931962368215</c:v>
                </c:pt>
                <c:pt idx="57">
                  <c:v>21.182021971990025</c:v>
                </c:pt>
                <c:pt idx="58">
                  <c:v>16.984316939453493</c:v>
                </c:pt>
                <c:pt idx="59">
                  <c:v>17.451968608567768</c:v>
                </c:pt>
                <c:pt idx="60">
                  <c:v>8.7390993855556189</c:v>
                </c:pt>
                <c:pt idx="61">
                  <c:v>23.897840724765729</c:v>
                </c:pt>
                <c:pt idx="62">
                  <c:v>25.755048115545833</c:v>
                </c:pt>
                <c:pt idx="63">
                  <c:v>18.080835639104862</c:v>
                </c:pt>
                <c:pt idx="64">
                  <c:v>21.339148864084109</c:v>
                </c:pt>
                <c:pt idx="65">
                  <c:v>16.65381420960739</c:v>
                </c:pt>
                <c:pt idx="66">
                  <c:v>17.458094876547875</c:v>
                </c:pt>
                <c:pt idx="67">
                  <c:v>15.708759231436943</c:v>
                </c:pt>
                <c:pt idx="68">
                  <c:v>12.054848795272619</c:v>
                </c:pt>
                <c:pt idx="69">
                  <c:v>21.977004651752168</c:v>
                </c:pt>
                <c:pt idx="70">
                  <c:v>20.679585405160196</c:v>
                </c:pt>
                <c:pt idx="71">
                  <c:v>17.632966097163262</c:v>
                </c:pt>
                <c:pt idx="72">
                  <c:v>18.79560462378322</c:v>
                </c:pt>
                <c:pt idx="73">
                  <c:v>22.26367756792979</c:v>
                </c:pt>
                <c:pt idx="74">
                  <c:v>28.51180111181975</c:v>
                </c:pt>
                <c:pt idx="75">
                  <c:v>16.034830806668651</c:v>
                </c:pt>
                <c:pt idx="76">
                  <c:v>16.581008586349526</c:v>
                </c:pt>
                <c:pt idx="77">
                  <c:v>18.462998788031655</c:v>
                </c:pt>
                <c:pt idx="78">
                  <c:v>17.647157080422858</c:v>
                </c:pt>
                <c:pt idx="79">
                  <c:v>14.58150945921011</c:v>
                </c:pt>
                <c:pt idx="80">
                  <c:v>17.968923826044829</c:v>
                </c:pt>
                <c:pt idx="81">
                  <c:v>18.721352061806101</c:v>
                </c:pt>
                <c:pt idx="82">
                  <c:v>26.511228626813818</c:v>
                </c:pt>
                <c:pt idx="83">
                  <c:v>17.828499476437628</c:v>
                </c:pt>
                <c:pt idx="84">
                  <c:v>16.002464923892148</c:v>
                </c:pt>
                <c:pt idx="85">
                  <c:v>17.688283229035733</c:v>
                </c:pt>
                <c:pt idx="86">
                  <c:v>13.040065730313472</c:v>
                </c:pt>
                <c:pt idx="87">
                  <c:v>16.219657908191039</c:v>
                </c:pt>
                <c:pt idx="88">
                  <c:v>22.740427837734387</c:v>
                </c:pt>
                <c:pt idx="89">
                  <c:v>17.566267197693833</c:v>
                </c:pt>
                <c:pt idx="90">
                  <c:v>18.010879503685373</c:v>
                </c:pt>
                <c:pt idx="91">
                  <c:v>14.583955124928707</c:v>
                </c:pt>
                <c:pt idx="92">
                  <c:v>21.119793537062378</c:v>
                </c:pt>
                <c:pt idx="93">
                  <c:v>19.62973036855783</c:v>
                </c:pt>
                <c:pt idx="94">
                  <c:v>20.169770246719509</c:v>
                </c:pt>
                <c:pt idx="95">
                  <c:v>25.686817540125503</c:v>
                </c:pt>
                <c:pt idx="96">
                  <c:v>16.749943140805499</c:v>
                </c:pt>
                <c:pt idx="97">
                  <c:v>16.237671694484789</c:v>
                </c:pt>
                <c:pt idx="98">
                  <c:v>18.747481818789311</c:v>
                </c:pt>
                <c:pt idx="99">
                  <c:v>23.767862089601749</c:v>
                </c:pt>
                <c:pt idx="100">
                  <c:v>17.669735905592688</c:v>
                </c:pt>
                <c:pt idx="101">
                  <c:v>21.014300607854238</c:v>
                </c:pt>
                <c:pt idx="102">
                  <c:v>19.958514890638298</c:v>
                </c:pt>
                <c:pt idx="103">
                  <c:v>19.786704958472455</c:v>
                </c:pt>
                <c:pt idx="104">
                  <c:v>26.147282397134859</c:v>
                </c:pt>
                <c:pt idx="105">
                  <c:v>18.820401770980197</c:v>
                </c:pt>
                <c:pt idx="106">
                  <c:v>25.710991632637388</c:v>
                </c:pt>
                <c:pt idx="107">
                  <c:v>15.07873054362426</c:v>
                </c:pt>
                <c:pt idx="108">
                  <c:v>33.610083551259777</c:v>
                </c:pt>
                <c:pt idx="109">
                  <c:v>22.675204182543439</c:v>
                </c:pt>
                <c:pt idx="110">
                  <c:v>24.573001119583978</c:v>
                </c:pt>
                <c:pt idx="111">
                  <c:v>21.809791609265631</c:v>
                </c:pt>
                <c:pt idx="112">
                  <c:v>21.143184589204566</c:v>
                </c:pt>
                <c:pt idx="113">
                  <c:v>18.517831894927212</c:v>
                </c:pt>
                <c:pt idx="114">
                  <c:v>13.332097104825152</c:v>
                </c:pt>
                <c:pt idx="115">
                  <c:v>17.125581452457936</c:v>
                </c:pt>
                <c:pt idx="116">
                  <c:v>30.499403538399292</c:v>
                </c:pt>
                <c:pt idx="117">
                  <c:v>23.743313402323565</c:v>
                </c:pt>
                <c:pt idx="118">
                  <c:v>21.384559124625866</c:v>
                </c:pt>
                <c:pt idx="119">
                  <c:v>17.756978083056538</c:v>
                </c:pt>
                <c:pt idx="120">
                  <c:v>12.432619594041171</c:v>
                </c:pt>
                <c:pt idx="121">
                  <c:v>20.970729417208986</c:v>
                </c:pt>
                <c:pt idx="122">
                  <c:v>18.405589775494263</c:v>
                </c:pt>
                <c:pt idx="123">
                  <c:v>21.177926993696701</c:v>
                </c:pt>
                <c:pt idx="124">
                  <c:v>20.728566716171372</c:v>
                </c:pt>
                <c:pt idx="125">
                  <c:v>22.76720656992984</c:v>
                </c:pt>
                <c:pt idx="126">
                  <c:v>26.351101926654337</c:v>
                </c:pt>
                <c:pt idx="127">
                  <c:v>20.662038152150672</c:v>
                </c:pt>
                <c:pt idx="128">
                  <c:v>20.532250920427487</c:v>
                </c:pt>
                <c:pt idx="129">
                  <c:v>19.128470293345345</c:v>
                </c:pt>
                <c:pt idx="130">
                  <c:v>23.916759829198782</c:v>
                </c:pt>
                <c:pt idx="131">
                  <c:v>19.555848995916222</c:v>
                </c:pt>
                <c:pt idx="132">
                  <c:v>17.702052956954049</c:v>
                </c:pt>
                <c:pt idx="133">
                  <c:v>14.422477874901915</c:v>
                </c:pt>
                <c:pt idx="134">
                  <c:v>19.350356624000597</c:v>
                </c:pt>
                <c:pt idx="135">
                  <c:v>24.439440246677805</c:v>
                </c:pt>
                <c:pt idx="136">
                  <c:v>29.786860629828425</c:v>
                </c:pt>
                <c:pt idx="137">
                  <c:v>16.649071552090845</c:v>
                </c:pt>
                <c:pt idx="138">
                  <c:v>19.347255908839543</c:v>
                </c:pt>
                <c:pt idx="139">
                  <c:v>17.75939457973891</c:v>
                </c:pt>
                <c:pt idx="140">
                  <c:v>22.105918440984169</c:v>
                </c:pt>
                <c:pt idx="141">
                  <c:v>17.613831524066882</c:v>
                </c:pt>
                <c:pt idx="142">
                  <c:v>12.928174137573023</c:v>
                </c:pt>
                <c:pt idx="143">
                  <c:v>18.099218413518656</c:v>
                </c:pt>
                <c:pt idx="144">
                  <c:v>18.530291556232442</c:v>
                </c:pt>
                <c:pt idx="145">
                  <c:v>18.20411377629307</c:v>
                </c:pt>
                <c:pt idx="146">
                  <c:v>21.269554664585485</c:v>
                </c:pt>
                <c:pt idx="147">
                  <c:v>20.820805091689635</c:v>
                </c:pt>
                <c:pt idx="148">
                  <c:v>23.731535860184977</c:v>
                </c:pt>
                <c:pt idx="149">
                  <c:v>18.628199254377705</c:v>
                </c:pt>
                <c:pt idx="150">
                  <c:v>22.380682109265763</c:v>
                </c:pt>
                <c:pt idx="151">
                  <c:v>17.625846044985792</c:v>
                </c:pt>
                <c:pt idx="152">
                  <c:v>20.81961836946607</c:v>
                </c:pt>
                <c:pt idx="153">
                  <c:v>14.473855593668077</c:v>
                </c:pt>
                <c:pt idx="154">
                  <c:v>18.705869142740994</c:v>
                </c:pt>
                <c:pt idx="155">
                  <c:v>26.798586892082312</c:v>
                </c:pt>
                <c:pt idx="156">
                  <c:v>26.656281589830542</c:v>
                </c:pt>
                <c:pt idx="157">
                  <c:v>20.421393384395742</c:v>
                </c:pt>
                <c:pt idx="158">
                  <c:v>17.397148421796601</c:v>
                </c:pt>
                <c:pt idx="159">
                  <c:v>23.762378083823705</c:v>
                </c:pt>
                <c:pt idx="160">
                  <c:v>15.934563478909695</c:v>
                </c:pt>
                <c:pt idx="161">
                  <c:v>22.276936105513414</c:v>
                </c:pt>
                <c:pt idx="162">
                  <c:v>17.160483252230733</c:v>
                </c:pt>
                <c:pt idx="163">
                  <c:v>19.356782127077167</c:v>
                </c:pt>
                <c:pt idx="164">
                  <c:v>20.675101573617439</c:v>
                </c:pt>
                <c:pt idx="165">
                  <c:v>23.940862516528341</c:v>
                </c:pt>
                <c:pt idx="166">
                  <c:v>17.699637348190663</c:v>
                </c:pt>
                <c:pt idx="167">
                  <c:v>20.21406489101264</c:v>
                </c:pt>
                <c:pt idx="168">
                  <c:v>20.919796970944844</c:v>
                </c:pt>
                <c:pt idx="169">
                  <c:v>24.120841179370473</c:v>
                </c:pt>
                <c:pt idx="170">
                  <c:v>22.913922724173062</c:v>
                </c:pt>
                <c:pt idx="171">
                  <c:v>19.539138769072224</c:v>
                </c:pt>
                <c:pt idx="172">
                  <c:v>23.975322815221261</c:v>
                </c:pt>
                <c:pt idx="173">
                  <c:v>19.036463770355113</c:v>
                </c:pt>
                <c:pt idx="174">
                  <c:v>23.728494918490469</c:v>
                </c:pt>
                <c:pt idx="175">
                  <c:v>25.12278861301229</c:v>
                </c:pt>
                <c:pt idx="176">
                  <c:v>27.229758610966655</c:v>
                </c:pt>
                <c:pt idx="177">
                  <c:v>19.828939884249394</c:v>
                </c:pt>
                <c:pt idx="178">
                  <c:v>20.365871895044847</c:v>
                </c:pt>
                <c:pt idx="179">
                  <c:v>23.37444445283154</c:v>
                </c:pt>
                <c:pt idx="180">
                  <c:v>23.968482910289822</c:v>
                </c:pt>
                <c:pt idx="181">
                  <c:v>14.921321018434355</c:v>
                </c:pt>
                <c:pt idx="182">
                  <c:v>29.867015921690836</c:v>
                </c:pt>
                <c:pt idx="183">
                  <c:v>16.218790489179355</c:v>
                </c:pt>
                <c:pt idx="184">
                  <c:v>22.559522495162128</c:v>
                </c:pt>
                <c:pt idx="185">
                  <c:v>20.533196342308429</c:v>
                </c:pt>
                <c:pt idx="186">
                  <c:v>24.096476114505094</c:v>
                </c:pt>
                <c:pt idx="187">
                  <c:v>20.73438144838201</c:v>
                </c:pt>
                <c:pt idx="188">
                  <c:v>19.892467035590471</c:v>
                </c:pt>
                <c:pt idx="189">
                  <c:v>19.288726571744519</c:v>
                </c:pt>
                <c:pt idx="190">
                  <c:v>13.965999798175744</c:v>
                </c:pt>
                <c:pt idx="191">
                  <c:v>15.763984106633416</c:v>
                </c:pt>
                <c:pt idx="192">
                  <c:v>24.267489540946826</c:v>
                </c:pt>
                <c:pt idx="193">
                  <c:v>19.869670188631972</c:v>
                </c:pt>
                <c:pt idx="194">
                  <c:v>17.415014651419369</c:v>
                </c:pt>
                <c:pt idx="195">
                  <c:v>12.865142359014499</c:v>
                </c:pt>
                <c:pt idx="196">
                  <c:v>22.569671191279895</c:v>
                </c:pt>
                <c:pt idx="197">
                  <c:v>13.434929061727189</c:v>
                </c:pt>
                <c:pt idx="198">
                  <c:v>17.76608998466736</c:v>
                </c:pt>
                <c:pt idx="199">
                  <c:v>17.090532300486302</c:v>
                </c:pt>
                <c:pt idx="200">
                  <c:v>15.024015892687203</c:v>
                </c:pt>
                <c:pt idx="201">
                  <c:v>18.344415562201448</c:v>
                </c:pt>
                <c:pt idx="202">
                  <c:v>22.316236856696378</c:v>
                </c:pt>
                <c:pt idx="203">
                  <c:v>19.665215147382469</c:v>
                </c:pt>
                <c:pt idx="204">
                  <c:v>19.604626811189064</c:v>
                </c:pt>
                <c:pt idx="205">
                  <c:v>9.8667687678362199</c:v>
                </c:pt>
                <c:pt idx="206">
                  <c:v>10.429437665578462</c:v>
                </c:pt>
                <c:pt idx="207">
                  <c:v>22.633241388354463</c:v>
                </c:pt>
                <c:pt idx="208">
                  <c:v>26.02455760345174</c:v>
                </c:pt>
                <c:pt idx="209">
                  <c:v>21.540906252139848</c:v>
                </c:pt>
                <c:pt idx="210">
                  <c:v>21.493068316307017</c:v>
                </c:pt>
                <c:pt idx="211">
                  <c:v>18.791052688166928</c:v>
                </c:pt>
                <c:pt idx="212">
                  <c:v>18.474038013515838</c:v>
                </c:pt>
                <c:pt idx="213">
                  <c:v>21.938980594844452</c:v>
                </c:pt>
                <c:pt idx="214">
                  <c:v>19.404162201798954</c:v>
                </c:pt>
                <c:pt idx="215">
                  <c:v>20.875217218852868</c:v>
                </c:pt>
                <c:pt idx="216">
                  <c:v>17.633303003293349</c:v>
                </c:pt>
                <c:pt idx="217">
                  <c:v>16.9703417640917</c:v>
                </c:pt>
                <c:pt idx="218">
                  <c:v>20.569924043730225</c:v>
                </c:pt>
                <c:pt idx="219">
                  <c:v>24.064431060381594</c:v>
                </c:pt>
                <c:pt idx="220">
                  <c:v>15.445646387821853</c:v>
                </c:pt>
                <c:pt idx="221">
                  <c:v>16.731287374380372</c:v>
                </c:pt>
                <c:pt idx="222">
                  <c:v>16.921259485078963</c:v>
                </c:pt>
                <c:pt idx="223">
                  <c:v>18.176012912345868</c:v>
                </c:pt>
                <c:pt idx="224">
                  <c:v>19.863381100720289</c:v>
                </c:pt>
                <c:pt idx="225">
                  <c:v>16.80883051270439</c:v>
                </c:pt>
                <c:pt idx="226">
                  <c:v>32.56520472092302</c:v>
                </c:pt>
                <c:pt idx="227">
                  <c:v>19.046075951902139</c:v>
                </c:pt>
                <c:pt idx="228">
                  <c:v>17.965687697263547</c:v>
                </c:pt>
                <c:pt idx="229">
                  <c:v>20.199027216566719</c:v>
                </c:pt>
                <c:pt idx="230">
                  <c:v>16.093139601617168</c:v>
                </c:pt>
                <c:pt idx="231">
                  <c:v>18.301785194566946</c:v>
                </c:pt>
                <c:pt idx="232">
                  <c:v>22.001077365824131</c:v>
                </c:pt>
                <c:pt idx="233">
                  <c:v>16.675028437615765</c:v>
                </c:pt>
                <c:pt idx="234">
                  <c:v>21.258315164119722</c:v>
                </c:pt>
                <c:pt idx="235">
                  <c:v>20.914671624076618</c:v>
                </c:pt>
                <c:pt idx="236">
                  <c:v>22.242026264359993</c:v>
                </c:pt>
                <c:pt idx="237">
                  <c:v>22.113652327817363</c:v>
                </c:pt>
                <c:pt idx="238">
                  <c:v>38.483341957994526</c:v>
                </c:pt>
                <c:pt idx="239">
                  <c:v>17.600227345632902</c:v>
                </c:pt>
                <c:pt idx="240">
                  <c:v>18.051928590933585</c:v>
                </c:pt>
                <c:pt idx="241">
                  <c:v>30.499896571393037</c:v>
                </c:pt>
                <c:pt idx="242">
                  <c:v>21.928670835138291</c:v>
                </c:pt>
                <c:pt idx="243">
                  <c:v>20.874448470889774</c:v>
                </c:pt>
                <c:pt idx="244">
                  <c:v>15.120373884578385</c:v>
                </c:pt>
                <c:pt idx="245">
                  <c:v>11.298950500812225</c:v>
                </c:pt>
                <c:pt idx="246">
                  <c:v>16.76757623148751</c:v>
                </c:pt>
                <c:pt idx="247">
                  <c:v>20.100652678835559</c:v>
                </c:pt>
                <c:pt idx="248">
                  <c:v>24.744414271892765</c:v>
                </c:pt>
                <c:pt idx="249">
                  <c:v>21.192639149857314</c:v>
                </c:pt>
                <c:pt idx="250">
                  <c:v>8.0128373741154064</c:v>
                </c:pt>
                <c:pt idx="251">
                  <c:v>23.691212638424304</c:v>
                </c:pt>
                <c:pt idx="252">
                  <c:v>20.869719186106522</c:v>
                </c:pt>
                <c:pt idx="253">
                  <c:v>15.39879835568172</c:v>
                </c:pt>
                <c:pt idx="254">
                  <c:v>25.510785874211706</c:v>
                </c:pt>
                <c:pt idx="255">
                  <c:v>12.782078819551771</c:v>
                </c:pt>
                <c:pt idx="256">
                  <c:v>19.789197543208047</c:v>
                </c:pt>
                <c:pt idx="257">
                  <c:v>19.534415820731738</c:v>
                </c:pt>
                <c:pt idx="258">
                  <c:v>26.178864630831868</c:v>
                </c:pt>
                <c:pt idx="259">
                  <c:v>21.131420711670671</c:v>
                </c:pt>
                <c:pt idx="260">
                  <c:v>17.45228514063183</c:v>
                </c:pt>
                <c:pt idx="261">
                  <c:v>18.096603844443507</c:v>
                </c:pt>
                <c:pt idx="262">
                  <c:v>15.83138118396846</c:v>
                </c:pt>
                <c:pt idx="263">
                  <c:v>8.4701671132979754</c:v>
                </c:pt>
                <c:pt idx="264">
                  <c:v>24.845920332670175</c:v>
                </c:pt>
                <c:pt idx="265">
                  <c:v>30.066636201260735</c:v>
                </c:pt>
                <c:pt idx="266">
                  <c:v>25.268761041695598</c:v>
                </c:pt>
                <c:pt idx="267">
                  <c:v>23.531462293585491</c:v>
                </c:pt>
                <c:pt idx="268">
                  <c:v>21.75350695502334</c:v>
                </c:pt>
                <c:pt idx="269">
                  <c:v>20.911491075337835</c:v>
                </c:pt>
                <c:pt idx="270">
                  <c:v>20.959661948945268</c:v>
                </c:pt>
                <c:pt idx="271">
                  <c:v>13.255877961305487</c:v>
                </c:pt>
                <c:pt idx="272">
                  <c:v>15.874607190750794</c:v>
                </c:pt>
                <c:pt idx="273">
                  <c:v>16.90624484692944</c:v>
                </c:pt>
                <c:pt idx="274">
                  <c:v>18.939911675078747</c:v>
                </c:pt>
                <c:pt idx="275">
                  <c:v>20.24626060008768</c:v>
                </c:pt>
                <c:pt idx="276">
                  <c:v>21.22788309188536</c:v>
                </c:pt>
                <c:pt idx="277">
                  <c:v>19.578349720759434</c:v>
                </c:pt>
                <c:pt idx="278">
                  <c:v>19.487704051441597</c:v>
                </c:pt>
                <c:pt idx="279">
                  <c:v>19.671007010522317</c:v>
                </c:pt>
                <c:pt idx="280">
                  <c:v>16.444316050635734</c:v>
                </c:pt>
                <c:pt idx="281">
                  <c:v>17.855068273222969</c:v>
                </c:pt>
                <c:pt idx="282">
                  <c:v>22.35719759822814</c:v>
                </c:pt>
                <c:pt idx="283">
                  <c:v>22.136443577786849</c:v>
                </c:pt>
                <c:pt idx="284">
                  <c:v>25.022635204566086</c:v>
                </c:pt>
                <c:pt idx="285">
                  <c:v>16.994322582050245</c:v>
                </c:pt>
                <c:pt idx="286">
                  <c:v>17.13792096233351</c:v>
                </c:pt>
                <c:pt idx="287">
                  <c:v>29.982025880183755</c:v>
                </c:pt>
                <c:pt idx="288">
                  <c:v>12.960735839752488</c:v>
                </c:pt>
                <c:pt idx="289">
                  <c:v>23.089437005653053</c:v>
                </c:pt>
                <c:pt idx="290">
                  <c:v>15.62558257979299</c:v>
                </c:pt>
                <c:pt idx="291">
                  <c:v>21.948544553729789</c:v>
                </c:pt>
                <c:pt idx="292">
                  <c:v>20.729835168579484</c:v>
                </c:pt>
                <c:pt idx="293">
                  <c:v>23.410066428703885</c:v>
                </c:pt>
                <c:pt idx="294">
                  <c:v>17.831308979885762</c:v>
                </c:pt>
                <c:pt idx="295">
                  <c:v>19.392231760468803</c:v>
                </c:pt>
                <c:pt idx="296">
                  <c:v>10.478876261749519</c:v>
                </c:pt>
                <c:pt idx="297">
                  <c:v>18.428476258156024</c:v>
                </c:pt>
                <c:pt idx="298">
                  <c:v>21.452782356150237</c:v>
                </c:pt>
                <c:pt idx="299">
                  <c:v>17.031588384674478</c:v>
                </c:pt>
                <c:pt idx="300">
                  <c:v>20.004363058175613</c:v>
                </c:pt>
                <c:pt idx="301">
                  <c:v>18.3755045696048</c:v>
                </c:pt>
                <c:pt idx="302">
                  <c:v>17.219398957197654</c:v>
                </c:pt>
                <c:pt idx="303">
                  <c:v>24.149891955340081</c:v>
                </c:pt>
                <c:pt idx="304">
                  <c:v>23.378741401402522</c:v>
                </c:pt>
                <c:pt idx="305">
                  <c:v>14.118838909921578</c:v>
                </c:pt>
                <c:pt idx="306">
                  <c:v>18.56785256903413</c:v>
                </c:pt>
                <c:pt idx="307">
                  <c:v>12.159014592050653</c:v>
                </c:pt>
                <c:pt idx="308">
                  <c:v>7.5064994371559806</c:v>
                </c:pt>
                <c:pt idx="309">
                  <c:v>13.164031368120959</c:v>
                </c:pt>
                <c:pt idx="310">
                  <c:v>20.29877971678502</c:v>
                </c:pt>
                <c:pt idx="311">
                  <c:v>25.482673927313044</c:v>
                </c:pt>
                <c:pt idx="312">
                  <c:v>20.930310903977897</c:v>
                </c:pt>
                <c:pt idx="313">
                  <c:v>20.531839054866396</c:v>
                </c:pt>
                <c:pt idx="314">
                  <c:v>21.529760627673113</c:v>
                </c:pt>
                <c:pt idx="315">
                  <c:v>20.281397070887124</c:v>
                </c:pt>
                <c:pt idx="316">
                  <c:v>21.625429818973089</c:v>
                </c:pt>
                <c:pt idx="317">
                  <c:v>31.263474576229783</c:v>
                </c:pt>
                <c:pt idx="318">
                  <c:v>21.089294671311791</c:v>
                </c:pt>
                <c:pt idx="319">
                  <c:v>19.753280121543185</c:v>
                </c:pt>
                <c:pt idx="320">
                  <c:v>29.852311346571696</c:v>
                </c:pt>
                <c:pt idx="321">
                  <c:v>17.895814883617504</c:v>
                </c:pt>
                <c:pt idx="322">
                  <c:v>16.806334695626902</c:v>
                </c:pt>
                <c:pt idx="323">
                  <c:v>12.865169247372478</c:v>
                </c:pt>
                <c:pt idx="324">
                  <c:v>19.662421560387429</c:v>
                </c:pt>
                <c:pt idx="325">
                  <c:v>13.400257889847126</c:v>
                </c:pt>
                <c:pt idx="326">
                  <c:v>24.239254594652266</c:v>
                </c:pt>
                <c:pt idx="327">
                  <c:v>12.856229598277878</c:v>
                </c:pt>
                <c:pt idx="328">
                  <c:v>19.475923755434906</c:v>
                </c:pt>
                <c:pt idx="329">
                  <c:v>20.519510205990173</c:v>
                </c:pt>
                <c:pt idx="330">
                  <c:v>17.893337488961151</c:v>
                </c:pt>
                <c:pt idx="331">
                  <c:v>20.773157945120602</c:v>
                </c:pt>
                <c:pt idx="332">
                  <c:v>16.856590293758927</c:v>
                </c:pt>
                <c:pt idx="333">
                  <c:v>33.41320489754662</c:v>
                </c:pt>
                <c:pt idx="334">
                  <c:v>29.865548355001465</c:v>
                </c:pt>
                <c:pt idx="335">
                  <c:v>24.067480595682355</c:v>
                </c:pt>
                <c:pt idx="336">
                  <c:v>18.15429718392943</c:v>
                </c:pt>
                <c:pt idx="337">
                  <c:v>14.137297235199185</c:v>
                </c:pt>
                <c:pt idx="338">
                  <c:v>24.676687700120283</c:v>
                </c:pt>
                <c:pt idx="339">
                  <c:v>18.640410865604281</c:v>
                </c:pt>
                <c:pt idx="340">
                  <c:v>12.608278318455632</c:v>
                </c:pt>
                <c:pt idx="341">
                  <c:v>18.738173291944804</c:v>
                </c:pt>
                <c:pt idx="342">
                  <c:v>17.274646845112784</c:v>
                </c:pt>
                <c:pt idx="343">
                  <c:v>18.169213640725957</c:v>
                </c:pt>
                <c:pt idx="344">
                  <c:v>13.293183142795442</c:v>
                </c:pt>
                <c:pt idx="345">
                  <c:v>25.342688234532034</c:v>
                </c:pt>
                <c:pt idx="346">
                  <c:v>27.476614773546089</c:v>
                </c:pt>
                <c:pt idx="347">
                  <c:v>24.201491861337672</c:v>
                </c:pt>
                <c:pt idx="348">
                  <c:v>22.600978148205741</c:v>
                </c:pt>
                <c:pt idx="349">
                  <c:v>23.77893410226261</c:v>
                </c:pt>
                <c:pt idx="350">
                  <c:v>25.856941529892083</c:v>
                </c:pt>
                <c:pt idx="351">
                  <c:v>17.616708778739394</c:v>
                </c:pt>
                <c:pt idx="352">
                  <c:v>29.968257444756091</c:v>
                </c:pt>
                <c:pt idx="353">
                  <c:v>19.845856050078055</c:v>
                </c:pt>
                <c:pt idx="354">
                  <c:v>15.679933904743166</c:v>
                </c:pt>
                <c:pt idx="355">
                  <c:v>21.665929362810402</c:v>
                </c:pt>
                <c:pt idx="356">
                  <c:v>22.572529271695885</c:v>
                </c:pt>
                <c:pt idx="357">
                  <c:v>19.523132828640428</c:v>
                </c:pt>
                <c:pt idx="358">
                  <c:v>25.146366779123127</c:v>
                </c:pt>
                <c:pt idx="359">
                  <c:v>25.982702961639006</c:v>
                </c:pt>
                <c:pt idx="360">
                  <c:v>15.322412433533373</c:v>
                </c:pt>
                <c:pt idx="361">
                  <c:v>21.965383242064036</c:v>
                </c:pt>
                <c:pt idx="362">
                  <c:v>19.973939896381808</c:v>
                </c:pt>
                <c:pt idx="363">
                  <c:v>13.621409652703733</c:v>
                </c:pt>
                <c:pt idx="364">
                  <c:v>28.199551007897298</c:v>
                </c:pt>
                <c:pt idx="365">
                  <c:v>11.941181465581394</c:v>
                </c:pt>
                <c:pt idx="366">
                  <c:v>15.457024281135091</c:v>
                </c:pt>
                <c:pt idx="367">
                  <c:v>21.85267037645508</c:v>
                </c:pt>
                <c:pt idx="368">
                  <c:v>22.90084945086619</c:v>
                </c:pt>
                <c:pt idx="369">
                  <c:v>23.180429805896893</c:v>
                </c:pt>
                <c:pt idx="370">
                  <c:v>19.643725429119513</c:v>
                </c:pt>
                <c:pt idx="371">
                  <c:v>19.555439162407765</c:v>
                </c:pt>
                <c:pt idx="372">
                  <c:v>13.92613423131661</c:v>
                </c:pt>
                <c:pt idx="373">
                  <c:v>16.537768252536353</c:v>
                </c:pt>
                <c:pt idx="374">
                  <c:v>23.157164035246296</c:v>
                </c:pt>
                <c:pt idx="375">
                  <c:v>18.629860751650085</c:v>
                </c:pt>
                <c:pt idx="376">
                  <c:v>24.740938189866029</c:v>
                </c:pt>
                <c:pt idx="377">
                  <c:v>17.896783809005228</c:v>
                </c:pt>
                <c:pt idx="378">
                  <c:v>22.177777695606437</c:v>
                </c:pt>
                <c:pt idx="379">
                  <c:v>19.463910695909362</c:v>
                </c:pt>
                <c:pt idx="380">
                  <c:v>20.637833453539315</c:v>
                </c:pt>
                <c:pt idx="381">
                  <c:v>15.802233253275972</c:v>
                </c:pt>
                <c:pt idx="382">
                  <c:v>15.308639027823119</c:v>
                </c:pt>
                <c:pt idx="383">
                  <c:v>27.096631885413899</c:v>
                </c:pt>
                <c:pt idx="384">
                  <c:v>17.284485464223053</c:v>
                </c:pt>
                <c:pt idx="385">
                  <c:v>26.349045874813783</c:v>
                </c:pt>
                <c:pt idx="386">
                  <c:v>20.224561950647285</c:v>
                </c:pt>
                <c:pt idx="387">
                  <c:v>21.165177369460253</c:v>
                </c:pt>
                <c:pt idx="388">
                  <c:v>19.705882730713483</c:v>
                </c:pt>
                <c:pt idx="389">
                  <c:v>18.481684107654473</c:v>
                </c:pt>
                <c:pt idx="390">
                  <c:v>19.281504807136116</c:v>
                </c:pt>
                <c:pt idx="391">
                  <c:v>24.900141022364096</c:v>
                </c:pt>
                <c:pt idx="392">
                  <c:v>18.467243149559181</c:v>
                </c:pt>
                <c:pt idx="393">
                  <c:v>19.201032357454324</c:v>
                </c:pt>
                <c:pt idx="394">
                  <c:v>24.162430383837773</c:v>
                </c:pt>
                <c:pt idx="395">
                  <c:v>20.743129760305237</c:v>
                </c:pt>
                <c:pt idx="396">
                  <c:v>19.43984864510935</c:v>
                </c:pt>
                <c:pt idx="397">
                  <c:v>7.0919691154003885</c:v>
                </c:pt>
                <c:pt idx="398">
                  <c:v>20.003235844862729</c:v>
                </c:pt>
                <c:pt idx="399">
                  <c:v>21.738459418743787</c:v>
                </c:pt>
                <c:pt idx="400">
                  <c:v>14.719181945137962</c:v>
                </c:pt>
                <c:pt idx="401">
                  <c:v>19.407828661929216</c:v>
                </c:pt>
                <c:pt idx="402">
                  <c:v>23.078423228808788</c:v>
                </c:pt>
                <c:pt idx="403">
                  <c:v>22.360929433030606</c:v>
                </c:pt>
                <c:pt idx="404">
                  <c:v>34.751109492801334</c:v>
                </c:pt>
                <c:pt idx="405">
                  <c:v>21.523776481219556</c:v>
                </c:pt>
                <c:pt idx="406">
                  <c:v>21.937978312161704</c:v>
                </c:pt>
                <c:pt idx="407">
                  <c:v>29.749569331793737</c:v>
                </c:pt>
                <c:pt idx="408">
                  <c:v>15.506908050922902</c:v>
                </c:pt>
                <c:pt idx="409">
                  <c:v>23.686322167704475</c:v>
                </c:pt>
                <c:pt idx="410">
                  <c:v>21.725835550147167</c:v>
                </c:pt>
                <c:pt idx="411">
                  <c:v>19.911886691507789</c:v>
                </c:pt>
                <c:pt idx="412">
                  <c:v>16.736573096003212</c:v>
                </c:pt>
                <c:pt idx="413">
                  <c:v>20.201988309835997</c:v>
                </c:pt>
                <c:pt idx="414">
                  <c:v>15.874276157746408</c:v>
                </c:pt>
                <c:pt idx="415">
                  <c:v>21.208540817627636</c:v>
                </c:pt>
                <c:pt idx="416">
                  <c:v>24.599561585740958</c:v>
                </c:pt>
                <c:pt idx="417">
                  <c:v>25.493927581848766</c:v>
                </c:pt>
                <c:pt idx="418">
                  <c:v>19.461403253383196</c:v>
                </c:pt>
                <c:pt idx="419">
                  <c:v>16.491384474580855</c:v>
                </c:pt>
                <c:pt idx="420">
                  <c:v>22.026777925819943</c:v>
                </c:pt>
                <c:pt idx="421">
                  <c:v>22.188158836357843</c:v>
                </c:pt>
                <c:pt idx="422">
                  <c:v>19.395337094519618</c:v>
                </c:pt>
                <c:pt idx="423">
                  <c:v>8.8770042500373165</c:v>
                </c:pt>
                <c:pt idx="424">
                  <c:v>18.513159716444534</c:v>
                </c:pt>
                <c:pt idx="425">
                  <c:v>16.720629405116597</c:v>
                </c:pt>
                <c:pt idx="426">
                  <c:v>21.45237382915775</c:v>
                </c:pt>
                <c:pt idx="427">
                  <c:v>23.840146672288256</c:v>
                </c:pt>
                <c:pt idx="428">
                  <c:v>20.907990567120578</c:v>
                </c:pt>
                <c:pt idx="429">
                  <c:v>37.843360113745348</c:v>
                </c:pt>
                <c:pt idx="430">
                  <c:v>24.197311931143759</c:v>
                </c:pt>
                <c:pt idx="431">
                  <c:v>29.241686717919947</c:v>
                </c:pt>
                <c:pt idx="432">
                  <c:v>17.43491231579992</c:v>
                </c:pt>
                <c:pt idx="433">
                  <c:v>19.657048706877049</c:v>
                </c:pt>
                <c:pt idx="434">
                  <c:v>20.974479318840849</c:v>
                </c:pt>
                <c:pt idx="435">
                  <c:v>24.698970594064576</c:v>
                </c:pt>
                <c:pt idx="436">
                  <c:v>20.602585413430688</c:v>
                </c:pt>
                <c:pt idx="437">
                  <c:v>18.629501174424377</c:v>
                </c:pt>
                <c:pt idx="438">
                  <c:v>19.538568704999761</c:v>
                </c:pt>
                <c:pt idx="439">
                  <c:v>16.103655448714562</c:v>
                </c:pt>
                <c:pt idx="440">
                  <c:v>9.6126716874659905</c:v>
                </c:pt>
                <c:pt idx="441">
                  <c:v>23.087216088313653</c:v>
                </c:pt>
                <c:pt idx="442">
                  <c:v>22.283443929736222</c:v>
                </c:pt>
                <c:pt idx="443">
                  <c:v>20.337644607123821</c:v>
                </c:pt>
                <c:pt idx="444">
                  <c:v>16.119584558347924</c:v>
                </c:pt>
                <c:pt idx="445">
                  <c:v>24.241946466449463</c:v>
                </c:pt>
                <c:pt idx="446">
                  <c:v>23.081447027676859</c:v>
                </c:pt>
                <c:pt idx="447">
                  <c:v>11.760433350124913</c:v>
                </c:pt>
                <c:pt idx="448">
                  <c:v>23.205942681415308</c:v>
                </c:pt>
                <c:pt idx="449">
                  <c:v>24.909343716805324</c:v>
                </c:pt>
                <c:pt idx="450">
                  <c:v>19.733265692255827</c:v>
                </c:pt>
                <c:pt idx="451">
                  <c:v>24.235150283881467</c:v>
                </c:pt>
                <c:pt idx="452">
                  <c:v>22.278852277711849</c:v>
                </c:pt>
                <c:pt idx="453">
                  <c:v>20.054674916854765</c:v>
                </c:pt>
                <c:pt idx="454">
                  <c:v>15.214442031117187</c:v>
                </c:pt>
                <c:pt idx="455">
                  <c:v>14.401923440685323</c:v>
                </c:pt>
                <c:pt idx="456">
                  <c:v>27.047666576637766</c:v>
                </c:pt>
                <c:pt idx="457">
                  <c:v>22.977487548837871</c:v>
                </c:pt>
                <c:pt idx="458">
                  <c:v>22.665753914398465</c:v>
                </c:pt>
                <c:pt idx="459">
                  <c:v>24.027159075060808</c:v>
                </c:pt>
                <c:pt idx="460">
                  <c:v>24.665711123579058</c:v>
                </c:pt>
                <c:pt idx="461">
                  <c:v>23.610431470869571</c:v>
                </c:pt>
                <c:pt idx="462">
                  <c:v>19.804020532500545</c:v>
                </c:pt>
                <c:pt idx="463">
                  <c:v>20.723291724545561</c:v>
                </c:pt>
                <c:pt idx="464">
                  <c:v>13.621498858759423</c:v>
                </c:pt>
                <c:pt idx="465">
                  <c:v>27.428214714608202</c:v>
                </c:pt>
                <c:pt idx="466">
                  <c:v>25.195455276767461</c:v>
                </c:pt>
                <c:pt idx="467">
                  <c:v>21.769958644018516</c:v>
                </c:pt>
                <c:pt idx="468">
                  <c:v>20.956109350536508</c:v>
                </c:pt>
                <c:pt idx="469">
                  <c:v>14.752498546581137</c:v>
                </c:pt>
                <c:pt idx="470">
                  <c:v>18.097738250404063</c:v>
                </c:pt>
                <c:pt idx="471">
                  <c:v>19.456552599588576</c:v>
                </c:pt>
                <c:pt idx="472">
                  <c:v>24.074279922772348</c:v>
                </c:pt>
                <c:pt idx="473">
                  <c:v>20.861949574464461</c:v>
                </c:pt>
                <c:pt idx="474">
                  <c:v>13.743780625731461</c:v>
                </c:pt>
                <c:pt idx="475">
                  <c:v>19.160493055491315</c:v>
                </c:pt>
                <c:pt idx="476">
                  <c:v>19.203241195191595</c:v>
                </c:pt>
                <c:pt idx="477">
                  <c:v>26.63973488673264</c:v>
                </c:pt>
                <c:pt idx="478">
                  <c:v>19.397662141180035</c:v>
                </c:pt>
                <c:pt idx="479">
                  <c:v>17.360410974564275</c:v>
                </c:pt>
                <c:pt idx="480">
                  <c:v>16.07802600846594</c:v>
                </c:pt>
                <c:pt idx="481">
                  <c:v>20.618322091182335</c:v>
                </c:pt>
                <c:pt idx="482">
                  <c:v>18.042330603012942</c:v>
                </c:pt>
                <c:pt idx="483">
                  <c:v>17.523140583477016</c:v>
                </c:pt>
                <c:pt idx="484">
                  <c:v>18.866349527626426</c:v>
                </c:pt>
                <c:pt idx="485">
                  <c:v>15.9631542801867</c:v>
                </c:pt>
                <c:pt idx="486">
                  <c:v>24.38376548202541</c:v>
                </c:pt>
                <c:pt idx="487">
                  <c:v>14.675662013301235</c:v>
                </c:pt>
                <c:pt idx="488">
                  <c:v>16.637339890350177</c:v>
                </c:pt>
                <c:pt idx="489">
                  <c:v>22.747438756480733</c:v>
                </c:pt>
                <c:pt idx="490">
                  <c:v>23.120250681056405</c:v>
                </c:pt>
                <c:pt idx="491">
                  <c:v>13.298265951360463</c:v>
                </c:pt>
                <c:pt idx="492">
                  <c:v>18.889866988587983</c:v>
                </c:pt>
                <c:pt idx="493">
                  <c:v>12.783435225640915</c:v>
                </c:pt>
                <c:pt idx="494">
                  <c:v>17.834325112657552</c:v>
                </c:pt>
                <c:pt idx="495">
                  <c:v>23.890728013990156</c:v>
                </c:pt>
                <c:pt idx="496">
                  <c:v>22.805310311069434</c:v>
                </c:pt>
                <c:pt idx="497">
                  <c:v>23.97235976729371</c:v>
                </c:pt>
                <c:pt idx="498">
                  <c:v>18.309814065301907</c:v>
                </c:pt>
                <c:pt idx="499">
                  <c:v>21.321007395125889</c:v>
                </c:pt>
                <c:pt idx="500">
                  <c:v>13.29328254151369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9F-2E4F-A807-31F2965A1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484223"/>
        <c:axId val="984783343"/>
      </c:lineChart>
      <c:catAx>
        <c:axId val="9694842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4783343"/>
        <c:crosses val="autoZero"/>
        <c:auto val="1"/>
        <c:lblAlgn val="ctr"/>
        <c:lblOffset val="100"/>
        <c:noMultiLvlLbl val="0"/>
      </c:catAx>
      <c:valAx>
        <c:axId val="984783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484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Almost</a:t>
            </a:r>
            <a:r>
              <a:rPr lang="en-GB" baseline="0"/>
              <a:t> at the money option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Simulate!$K$1:$K$501</c:f>
              <c:numCache>
                <c:formatCode>General</c:formatCode>
                <c:ptCount val="501"/>
                <c:pt idx="0">
                  <c:v>10.539677968318301</c:v>
                </c:pt>
                <c:pt idx="1">
                  <c:v>12.374625371231105</c:v>
                </c:pt>
                <c:pt idx="2">
                  <c:v>6.2343973650808948</c:v>
                </c:pt>
                <c:pt idx="3">
                  <c:v>9.1574351559547722</c:v>
                </c:pt>
                <c:pt idx="4">
                  <c:v>8.074617035988922</c:v>
                </c:pt>
                <c:pt idx="5">
                  <c:v>9.9770799823372727</c:v>
                </c:pt>
                <c:pt idx="6">
                  <c:v>11.128787492187257</c:v>
                </c:pt>
                <c:pt idx="7">
                  <c:v>4.6584933817762249</c:v>
                </c:pt>
                <c:pt idx="8">
                  <c:v>13.768147949756894</c:v>
                </c:pt>
                <c:pt idx="9">
                  <c:v>9.5930122929385107</c:v>
                </c:pt>
                <c:pt idx="10">
                  <c:v>4.9095367026911845</c:v>
                </c:pt>
                <c:pt idx="11">
                  <c:v>8.6986762350079516</c:v>
                </c:pt>
                <c:pt idx="12">
                  <c:v>10.650969376573357</c:v>
                </c:pt>
                <c:pt idx="13">
                  <c:v>5.4541638402056378</c:v>
                </c:pt>
                <c:pt idx="14">
                  <c:v>15.100581883345058</c:v>
                </c:pt>
                <c:pt idx="15">
                  <c:v>10.326532234339538</c:v>
                </c:pt>
                <c:pt idx="16">
                  <c:v>12.754379018746022</c:v>
                </c:pt>
                <c:pt idx="17">
                  <c:v>9.7697905015579636</c:v>
                </c:pt>
                <c:pt idx="18">
                  <c:v>8.0149584810014858</c:v>
                </c:pt>
                <c:pt idx="19">
                  <c:v>8.0987703243349642</c:v>
                </c:pt>
                <c:pt idx="20">
                  <c:v>9.0360245034867148</c:v>
                </c:pt>
                <c:pt idx="21">
                  <c:v>8.2799579899383389</c:v>
                </c:pt>
                <c:pt idx="22">
                  <c:v>7.775889058622397</c:v>
                </c:pt>
                <c:pt idx="23">
                  <c:v>11.568049378347041</c:v>
                </c:pt>
                <c:pt idx="24">
                  <c:v>7.2875235858418819</c:v>
                </c:pt>
                <c:pt idx="25">
                  <c:v>9.5700237070959702</c:v>
                </c:pt>
                <c:pt idx="26">
                  <c:v>11.241489513767647</c:v>
                </c:pt>
                <c:pt idx="27">
                  <c:v>11.145686598334578</c:v>
                </c:pt>
                <c:pt idx="28">
                  <c:v>16.473780956339397</c:v>
                </c:pt>
                <c:pt idx="29">
                  <c:v>9.5697376116936539</c:v>
                </c:pt>
                <c:pt idx="30">
                  <c:v>20.241464467106653</c:v>
                </c:pt>
                <c:pt idx="31">
                  <c:v>7.7063888366733408</c:v>
                </c:pt>
                <c:pt idx="32">
                  <c:v>7.2607458126226447</c:v>
                </c:pt>
                <c:pt idx="33">
                  <c:v>15.772829354878013</c:v>
                </c:pt>
                <c:pt idx="34">
                  <c:v>5.4053722198123069</c:v>
                </c:pt>
                <c:pt idx="35">
                  <c:v>7.7023045708442623</c:v>
                </c:pt>
                <c:pt idx="36">
                  <c:v>6.0321928055441276</c:v>
                </c:pt>
                <c:pt idx="37">
                  <c:v>9.463932029953412</c:v>
                </c:pt>
                <c:pt idx="38">
                  <c:v>12.072735297523195</c:v>
                </c:pt>
                <c:pt idx="39">
                  <c:v>11.903592127673619</c:v>
                </c:pt>
                <c:pt idx="40">
                  <c:v>6.2307726317399101</c:v>
                </c:pt>
                <c:pt idx="41">
                  <c:v>5.2115993858019465</c:v>
                </c:pt>
                <c:pt idx="42">
                  <c:v>11.794391313615961</c:v>
                </c:pt>
                <c:pt idx="43">
                  <c:v>10.318596081203395</c:v>
                </c:pt>
                <c:pt idx="44">
                  <c:v>14.640015637745364</c:v>
                </c:pt>
                <c:pt idx="45">
                  <c:v>7.399855848126208</c:v>
                </c:pt>
                <c:pt idx="46">
                  <c:v>10.364921865954784</c:v>
                </c:pt>
                <c:pt idx="47">
                  <c:v>6.5769628750940683</c:v>
                </c:pt>
                <c:pt idx="48">
                  <c:v>9.6749890764076554</c:v>
                </c:pt>
                <c:pt idx="49">
                  <c:v>7.6989459266555968</c:v>
                </c:pt>
                <c:pt idx="50">
                  <c:v>11.31468085186998</c:v>
                </c:pt>
                <c:pt idx="51">
                  <c:v>12.235271021164863</c:v>
                </c:pt>
                <c:pt idx="52">
                  <c:v>7.4775617817822422</c:v>
                </c:pt>
                <c:pt idx="53">
                  <c:v>8.5296533026653378</c:v>
                </c:pt>
                <c:pt idx="54">
                  <c:v>7.6789241462956852</c:v>
                </c:pt>
                <c:pt idx="55">
                  <c:v>10.579041834690088</c:v>
                </c:pt>
                <c:pt idx="56">
                  <c:v>1.9183619491159334</c:v>
                </c:pt>
                <c:pt idx="57">
                  <c:v>12.203902248518716</c:v>
                </c:pt>
                <c:pt idx="58">
                  <c:v>7.9859064775309889</c:v>
                </c:pt>
                <c:pt idx="59">
                  <c:v>10.594857524622967</c:v>
                </c:pt>
                <c:pt idx="60">
                  <c:v>8.3718745865362507</c:v>
                </c:pt>
                <c:pt idx="61">
                  <c:v>7.2614305457227601</c:v>
                </c:pt>
                <c:pt idx="62">
                  <c:v>8.2682097016977423</c:v>
                </c:pt>
                <c:pt idx="63">
                  <c:v>8.8878096079333773</c:v>
                </c:pt>
                <c:pt idx="64">
                  <c:v>9.6546067727358604</c:v>
                </c:pt>
                <c:pt idx="65">
                  <c:v>8.9774936379285464</c:v>
                </c:pt>
                <c:pt idx="66">
                  <c:v>7.6305943263869267</c:v>
                </c:pt>
                <c:pt idx="67">
                  <c:v>6.4800337069050329</c:v>
                </c:pt>
                <c:pt idx="68">
                  <c:v>5.4770465307592531</c:v>
                </c:pt>
                <c:pt idx="69">
                  <c:v>9.337846982064093</c:v>
                </c:pt>
                <c:pt idx="70">
                  <c:v>21.090285604570454</c:v>
                </c:pt>
                <c:pt idx="71">
                  <c:v>13.690291407435325</c:v>
                </c:pt>
                <c:pt idx="72">
                  <c:v>10.95486588433323</c:v>
                </c:pt>
                <c:pt idx="73">
                  <c:v>12.04777457917362</c:v>
                </c:pt>
                <c:pt idx="74">
                  <c:v>10.365054709565811</c:v>
                </c:pt>
                <c:pt idx="75">
                  <c:v>8.7094480214623218</c:v>
                </c:pt>
                <c:pt idx="76">
                  <c:v>8.6904518436954277</c:v>
                </c:pt>
                <c:pt idx="77">
                  <c:v>8.8913053685660088</c:v>
                </c:pt>
                <c:pt idx="78">
                  <c:v>11.970832794053422</c:v>
                </c:pt>
                <c:pt idx="79">
                  <c:v>10.387279372831017</c:v>
                </c:pt>
                <c:pt idx="80">
                  <c:v>9.7281530583359199</c:v>
                </c:pt>
                <c:pt idx="81">
                  <c:v>11.653788068007088</c:v>
                </c:pt>
                <c:pt idx="82">
                  <c:v>8.6029787731581564</c:v>
                </c:pt>
                <c:pt idx="83">
                  <c:v>6.5629599321960086</c:v>
                </c:pt>
                <c:pt idx="84">
                  <c:v>4.5240554284141581</c:v>
                </c:pt>
                <c:pt idx="85">
                  <c:v>8.5710048957171239</c:v>
                </c:pt>
                <c:pt idx="86">
                  <c:v>9.806450059988947</c:v>
                </c:pt>
                <c:pt idx="87">
                  <c:v>8.1083443620873368</c:v>
                </c:pt>
                <c:pt idx="88">
                  <c:v>8.0785667223894961</c:v>
                </c:pt>
                <c:pt idx="89">
                  <c:v>11.062537992584566</c:v>
                </c:pt>
                <c:pt idx="90">
                  <c:v>9.9789557185376907</c:v>
                </c:pt>
                <c:pt idx="91">
                  <c:v>6.6828608879382045</c:v>
                </c:pt>
                <c:pt idx="92">
                  <c:v>12.278429471240543</c:v>
                </c:pt>
                <c:pt idx="93">
                  <c:v>10.526699129532062</c:v>
                </c:pt>
                <c:pt idx="94">
                  <c:v>5.8830972958530765</c:v>
                </c:pt>
                <c:pt idx="95">
                  <c:v>11.801584904885203</c:v>
                </c:pt>
                <c:pt idx="96">
                  <c:v>6.8461426456760819</c:v>
                </c:pt>
                <c:pt idx="97">
                  <c:v>10.735745147492253</c:v>
                </c:pt>
                <c:pt idx="98">
                  <c:v>9.5913332148597874</c:v>
                </c:pt>
                <c:pt idx="99">
                  <c:v>8.4215529494699695</c:v>
                </c:pt>
                <c:pt idx="100">
                  <c:v>13.176594949979062</c:v>
                </c:pt>
                <c:pt idx="101">
                  <c:v>5.5343988128929595</c:v>
                </c:pt>
                <c:pt idx="102">
                  <c:v>9.9903248394612092</c:v>
                </c:pt>
                <c:pt idx="103">
                  <c:v>13.565624955772364</c:v>
                </c:pt>
                <c:pt idx="104">
                  <c:v>8.4185637352998128</c:v>
                </c:pt>
                <c:pt idx="105">
                  <c:v>9.3708194078290035</c:v>
                </c:pt>
                <c:pt idx="106">
                  <c:v>9.1384132655980466</c:v>
                </c:pt>
                <c:pt idx="107">
                  <c:v>4.7442128445877643</c:v>
                </c:pt>
                <c:pt idx="108">
                  <c:v>8.9797642758044276</c:v>
                </c:pt>
                <c:pt idx="109">
                  <c:v>6.709748436677728</c:v>
                </c:pt>
                <c:pt idx="110">
                  <c:v>10.606315617772452</c:v>
                </c:pt>
                <c:pt idx="111">
                  <c:v>7.9196498315795907</c:v>
                </c:pt>
                <c:pt idx="112">
                  <c:v>5.143470248747235</c:v>
                </c:pt>
                <c:pt idx="113">
                  <c:v>8.74281685302185</c:v>
                </c:pt>
                <c:pt idx="114">
                  <c:v>10.552424831144435</c:v>
                </c:pt>
                <c:pt idx="115">
                  <c:v>9.8001076900313819</c:v>
                </c:pt>
                <c:pt idx="116">
                  <c:v>10.486258663373064</c:v>
                </c:pt>
                <c:pt idx="117">
                  <c:v>6.9290488871151865</c:v>
                </c:pt>
                <c:pt idx="118">
                  <c:v>11.416874656239543</c:v>
                </c:pt>
                <c:pt idx="119">
                  <c:v>10.774802711632219</c:v>
                </c:pt>
                <c:pt idx="120">
                  <c:v>12.620774074719066</c:v>
                </c:pt>
                <c:pt idx="121">
                  <c:v>6.7156868445622422</c:v>
                </c:pt>
                <c:pt idx="122">
                  <c:v>9.5614326787817845</c:v>
                </c:pt>
                <c:pt idx="123">
                  <c:v>6.1745610203847718</c:v>
                </c:pt>
                <c:pt idx="124">
                  <c:v>11.883606370928192</c:v>
                </c:pt>
                <c:pt idx="125">
                  <c:v>7.2224576411763337</c:v>
                </c:pt>
                <c:pt idx="126">
                  <c:v>8.9835782657423806</c:v>
                </c:pt>
                <c:pt idx="127">
                  <c:v>6.6835085141224226</c:v>
                </c:pt>
                <c:pt idx="128">
                  <c:v>11.354521379428661</c:v>
                </c:pt>
                <c:pt idx="129">
                  <c:v>12.312705935227314</c:v>
                </c:pt>
                <c:pt idx="130">
                  <c:v>12.036691686595532</c:v>
                </c:pt>
                <c:pt idx="131">
                  <c:v>6.8622177538318283</c:v>
                </c:pt>
                <c:pt idx="132">
                  <c:v>7.0093491366828857</c:v>
                </c:pt>
                <c:pt idx="133">
                  <c:v>8.8329426909185713</c:v>
                </c:pt>
                <c:pt idx="134">
                  <c:v>9.3469282078012839</c:v>
                </c:pt>
                <c:pt idx="135">
                  <c:v>11.204535359887359</c:v>
                </c:pt>
                <c:pt idx="136">
                  <c:v>14.454824694691069</c:v>
                </c:pt>
                <c:pt idx="137">
                  <c:v>7.5128927027758436</c:v>
                </c:pt>
                <c:pt idx="138">
                  <c:v>7.3700439042104335</c:v>
                </c:pt>
                <c:pt idx="139">
                  <c:v>8.5304618444038169</c:v>
                </c:pt>
                <c:pt idx="140">
                  <c:v>11.687262704738259</c:v>
                </c:pt>
                <c:pt idx="141">
                  <c:v>12.734947086267766</c:v>
                </c:pt>
                <c:pt idx="142">
                  <c:v>11.29420819989673</c:v>
                </c:pt>
                <c:pt idx="143">
                  <c:v>11.10456770193241</c:v>
                </c:pt>
                <c:pt idx="144">
                  <c:v>4.6609966122259721</c:v>
                </c:pt>
                <c:pt idx="145">
                  <c:v>15.574371163426804</c:v>
                </c:pt>
                <c:pt idx="146">
                  <c:v>10.127773552051167</c:v>
                </c:pt>
                <c:pt idx="147">
                  <c:v>9.9942566850845651</c:v>
                </c:pt>
                <c:pt idx="148">
                  <c:v>12.024007256069581</c:v>
                </c:pt>
                <c:pt idx="149">
                  <c:v>4.6950869937422794</c:v>
                </c:pt>
                <c:pt idx="150">
                  <c:v>8.7802763147137739</c:v>
                </c:pt>
                <c:pt idx="151">
                  <c:v>11.498368182330069</c:v>
                </c:pt>
                <c:pt idx="152">
                  <c:v>10.858656052289462</c:v>
                </c:pt>
                <c:pt idx="153">
                  <c:v>6.378528085549533</c:v>
                </c:pt>
                <c:pt idx="154">
                  <c:v>8.0297242924816601</c:v>
                </c:pt>
                <c:pt idx="155">
                  <c:v>9.0799691594406795</c:v>
                </c:pt>
                <c:pt idx="156">
                  <c:v>13.570551232014623</c:v>
                </c:pt>
                <c:pt idx="157">
                  <c:v>13.205667598781474</c:v>
                </c:pt>
                <c:pt idx="158">
                  <c:v>7.4664191098827359</c:v>
                </c:pt>
                <c:pt idx="159">
                  <c:v>11.765387215502415</c:v>
                </c:pt>
                <c:pt idx="160">
                  <c:v>7.7719971762176101</c:v>
                </c:pt>
                <c:pt idx="161">
                  <c:v>9.7956454586105792</c:v>
                </c:pt>
                <c:pt idx="162">
                  <c:v>9.7951493756445416</c:v>
                </c:pt>
                <c:pt idx="163">
                  <c:v>9.0440144912454343</c:v>
                </c:pt>
                <c:pt idx="164">
                  <c:v>5.7561851867462792</c:v>
                </c:pt>
                <c:pt idx="165">
                  <c:v>9.3459538155670998</c:v>
                </c:pt>
                <c:pt idx="166">
                  <c:v>5.8935699704438775</c:v>
                </c:pt>
                <c:pt idx="167">
                  <c:v>12.357736287823627</c:v>
                </c:pt>
                <c:pt idx="168">
                  <c:v>10.838921850943734</c:v>
                </c:pt>
                <c:pt idx="169">
                  <c:v>12.434264033155159</c:v>
                </c:pt>
                <c:pt idx="170">
                  <c:v>12.164034153169268</c:v>
                </c:pt>
                <c:pt idx="171">
                  <c:v>8.8234967476196289</c:v>
                </c:pt>
                <c:pt idx="172">
                  <c:v>11.301354585131321</c:v>
                </c:pt>
                <c:pt idx="173">
                  <c:v>9.3611354443210075</c:v>
                </c:pt>
                <c:pt idx="174">
                  <c:v>11.465481845822978</c:v>
                </c:pt>
                <c:pt idx="175">
                  <c:v>11.346294550142829</c:v>
                </c:pt>
                <c:pt idx="176">
                  <c:v>8.9892682006352516</c:v>
                </c:pt>
                <c:pt idx="177">
                  <c:v>10.691059321781267</c:v>
                </c:pt>
                <c:pt idx="178">
                  <c:v>11.694028435699693</c:v>
                </c:pt>
                <c:pt idx="179">
                  <c:v>11.154290735237737</c:v>
                </c:pt>
                <c:pt idx="180">
                  <c:v>6.5366075046667902</c:v>
                </c:pt>
                <c:pt idx="181">
                  <c:v>11.596806692114569</c:v>
                </c:pt>
                <c:pt idx="182">
                  <c:v>8.9668304940159942</c:v>
                </c:pt>
                <c:pt idx="183">
                  <c:v>8.0118376893938148</c:v>
                </c:pt>
                <c:pt idx="184">
                  <c:v>10.130290856508509</c:v>
                </c:pt>
                <c:pt idx="185">
                  <c:v>7.621557590059183</c:v>
                </c:pt>
                <c:pt idx="186">
                  <c:v>7.5792059644581968</c:v>
                </c:pt>
                <c:pt idx="187">
                  <c:v>1.5439968818850502</c:v>
                </c:pt>
                <c:pt idx="188">
                  <c:v>8.2194468706998123</c:v>
                </c:pt>
                <c:pt idx="189">
                  <c:v>7.2501445295201847</c:v>
                </c:pt>
                <c:pt idx="190">
                  <c:v>6.4846673810975517</c:v>
                </c:pt>
                <c:pt idx="191">
                  <c:v>6.2466024221039333</c:v>
                </c:pt>
                <c:pt idx="192">
                  <c:v>10.564138297549562</c:v>
                </c:pt>
                <c:pt idx="193">
                  <c:v>10.212369296305496</c:v>
                </c:pt>
                <c:pt idx="194">
                  <c:v>7.7327631124130676</c:v>
                </c:pt>
                <c:pt idx="195">
                  <c:v>9.5010192094223385</c:v>
                </c:pt>
                <c:pt idx="196">
                  <c:v>8.9224519296230937</c:v>
                </c:pt>
                <c:pt idx="197">
                  <c:v>8.0255377247481192</c:v>
                </c:pt>
                <c:pt idx="198">
                  <c:v>5.8705820128416235</c:v>
                </c:pt>
                <c:pt idx="199">
                  <c:v>10.53189192559239</c:v>
                </c:pt>
                <c:pt idx="200">
                  <c:v>13.958623150257154</c:v>
                </c:pt>
                <c:pt idx="201">
                  <c:v>9.0101314706435005</c:v>
                </c:pt>
                <c:pt idx="202">
                  <c:v>8.5554757428685662</c:v>
                </c:pt>
                <c:pt idx="203">
                  <c:v>5.3693869312351126</c:v>
                </c:pt>
                <c:pt idx="204">
                  <c:v>9.6836510102825741</c:v>
                </c:pt>
                <c:pt idx="205">
                  <c:v>4.2329035617722184</c:v>
                </c:pt>
                <c:pt idx="206">
                  <c:v>10.005015031688799</c:v>
                </c:pt>
                <c:pt idx="207">
                  <c:v>6.2317654661655979</c:v>
                </c:pt>
                <c:pt idx="208">
                  <c:v>12.846221112890817</c:v>
                </c:pt>
                <c:pt idx="209">
                  <c:v>11.754164093275904</c:v>
                </c:pt>
                <c:pt idx="210">
                  <c:v>13.899032105045535</c:v>
                </c:pt>
                <c:pt idx="211">
                  <c:v>6.8291983402064034</c:v>
                </c:pt>
                <c:pt idx="212">
                  <c:v>11.098659959428915</c:v>
                </c:pt>
                <c:pt idx="213">
                  <c:v>9.9534105603015632</c:v>
                </c:pt>
                <c:pt idx="214">
                  <c:v>12.21404068961283</c:v>
                </c:pt>
                <c:pt idx="215">
                  <c:v>8.3146309997828212</c:v>
                </c:pt>
                <c:pt idx="216">
                  <c:v>9.4017626506738452</c:v>
                </c:pt>
                <c:pt idx="217">
                  <c:v>11.963208012255109</c:v>
                </c:pt>
                <c:pt idx="218">
                  <c:v>8.3984993092312834</c:v>
                </c:pt>
                <c:pt idx="219">
                  <c:v>8.6429165550339349</c:v>
                </c:pt>
                <c:pt idx="220">
                  <c:v>10.116624684527324</c:v>
                </c:pt>
                <c:pt idx="221">
                  <c:v>10.911662036245161</c:v>
                </c:pt>
                <c:pt idx="222">
                  <c:v>10.240477900884343</c:v>
                </c:pt>
                <c:pt idx="223">
                  <c:v>12.364486162594858</c:v>
                </c:pt>
                <c:pt idx="224">
                  <c:v>10.237089879547057</c:v>
                </c:pt>
                <c:pt idx="225">
                  <c:v>9.9644891302359611</c:v>
                </c:pt>
                <c:pt idx="226">
                  <c:v>11.234798265104473</c:v>
                </c:pt>
                <c:pt idx="227">
                  <c:v>7.8173879099031183</c:v>
                </c:pt>
                <c:pt idx="228">
                  <c:v>10.043740328188505</c:v>
                </c:pt>
                <c:pt idx="229">
                  <c:v>8.4241465659119967</c:v>
                </c:pt>
                <c:pt idx="230">
                  <c:v>8.5091296191817491</c:v>
                </c:pt>
                <c:pt idx="231">
                  <c:v>10.121348714752912</c:v>
                </c:pt>
                <c:pt idx="232">
                  <c:v>8.5115641089078053</c:v>
                </c:pt>
                <c:pt idx="233">
                  <c:v>12.765869829418534</c:v>
                </c:pt>
                <c:pt idx="234">
                  <c:v>7.5794442085812079</c:v>
                </c:pt>
                <c:pt idx="235">
                  <c:v>11.348785927328663</c:v>
                </c:pt>
                <c:pt idx="236">
                  <c:v>9.7365579465249539</c:v>
                </c:pt>
                <c:pt idx="237">
                  <c:v>5.9021504694551368</c:v>
                </c:pt>
                <c:pt idx="238">
                  <c:v>6.8913720317400475</c:v>
                </c:pt>
                <c:pt idx="239">
                  <c:v>3.2856593605683884</c:v>
                </c:pt>
                <c:pt idx="240">
                  <c:v>15.340950245089061</c:v>
                </c:pt>
                <c:pt idx="241">
                  <c:v>11.366237560719128</c:v>
                </c:pt>
                <c:pt idx="242">
                  <c:v>10.500659354798245</c:v>
                </c:pt>
                <c:pt idx="243">
                  <c:v>8.8092698720788576</c:v>
                </c:pt>
                <c:pt idx="244">
                  <c:v>7.3138363937378017</c:v>
                </c:pt>
                <c:pt idx="245">
                  <c:v>9.9476550591789419</c:v>
                </c:pt>
                <c:pt idx="246">
                  <c:v>10.448958626575404</c:v>
                </c:pt>
                <c:pt idx="247">
                  <c:v>9.8611718728016058</c:v>
                </c:pt>
                <c:pt idx="248">
                  <c:v>9.904738421195816</c:v>
                </c:pt>
                <c:pt idx="249">
                  <c:v>4.6318630439131994</c:v>
                </c:pt>
                <c:pt idx="250">
                  <c:v>6.7294436666020374</c:v>
                </c:pt>
                <c:pt idx="251">
                  <c:v>9.7488164753499404</c:v>
                </c:pt>
                <c:pt idx="252">
                  <c:v>9.9348992939317213</c:v>
                </c:pt>
                <c:pt idx="253">
                  <c:v>12.292657282328037</c:v>
                </c:pt>
                <c:pt idx="254">
                  <c:v>18.39836539402495</c:v>
                </c:pt>
                <c:pt idx="255">
                  <c:v>7.0203471187182913</c:v>
                </c:pt>
                <c:pt idx="256">
                  <c:v>8.8566772535878044</c:v>
                </c:pt>
                <c:pt idx="257">
                  <c:v>8.6856725652528439</c:v>
                </c:pt>
                <c:pt idx="258">
                  <c:v>7.1214169705190216</c:v>
                </c:pt>
                <c:pt idx="259">
                  <c:v>4.2719301227029973</c:v>
                </c:pt>
                <c:pt idx="260">
                  <c:v>13.046114584541556</c:v>
                </c:pt>
                <c:pt idx="261">
                  <c:v>10.623800998954266</c:v>
                </c:pt>
                <c:pt idx="262">
                  <c:v>6.7806448400824593</c:v>
                </c:pt>
                <c:pt idx="263">
                  <c:v>10.789330339901426</c:v>
                </c:pt>
                <c:pt idx="264">
                  <c:v>10.804794868157387</c:v>
                </c:pt>
                <c:pt idx="265">
                  <c:v>11.577866369403182</c:v>
                </c:pt>
                <c:pt idx="266">
                  <c:v>11.318413811671235</c:v>
                </c:pt>
                <c:pt idx="267">
                  <c:v>7.1555441178843466</c:v>
                </c:pt>
                <c:pt idx="268">
                  <c:v>10.643311201691631</c:v>
                </c:pt>
                <c:pt idx="269">
                  <c:v>4.830414012674737</c:v>
                </c:pt>
                <c:pt idx="270">
                  <c:v>6.8750633116501376</c:v>
                </c:pt>
                <c:pt idx="271">
                  <c:v>9.7257008099873019</c:v>
                </c:pt>
                <c:pt idx="272">
                  <c:v>10.967911070965783</c:v>
                </c:pt>
                <c:pt idx="273">
                  <c:v>10.351610828827233</c:v>
                </c:pt>
                <c:pt idx="274">
                  <c:v>8.5775761146178411</c:v>
                </c:pt>
                <c:pt idx="275">
                  <c:v>5.1537174615191361</c:v>
                </c:pt>
                <c:pt idx="276">
                  <c:v>5.6727787037239068</c:v>
                </c:pt>
                <c:pt idx="277">
                  <c:v>10.034947511629525</c:v>
                </c:pt>
                <c:pt idx="278">
                  <c:v>9.1963220226289195</c:v>
                </c:pt>
                <c:pt idx="279">
                  <c:v>10.717652249089497</c:v>
                </c:pt>
                <c:pt idx="280">
                  <c:v>11.969414821190185</c:v>
                </c:pt>
                <c:pt idx="281">
                  <c:v>7.2426291892916197</c:v>
                </c:pt>
                <c:pt idx="282">
                  <c:v>10.48282833885969</c:v>
                </c:pt>
                <c:pt idx="283">
                  <c:v>7.7560527667169481</c:v>
                </c:pt>
                <c:pt idx="284">
                  <c:v>7.8965862321160785</c:v>
                </c:pt>
                <c:pt idx="285">
                  <c:v>6.9076563442622501</c:v>
                </c:pt>
                <c:pt idx="286">
                  <c:v>8.0178843613043682</c:v>
                </c:pt>
                <c:pt idx="287">
                  <c:v>8.5305764924892173</c:v>
                </c:pt>
                <c:pt idx="288">
                  <c:v>7.8132626033557244</c:v>
                </c:pt>
                <c:pt idx="289">
                  <c:v>11.928456873588857</c:v>
                </c:pt>
                <c:pt idx="290">
                  <c:v>8.756770451067041</c:v>
                </c:pt>
                <c:pt idx="291">
                  <c:v>8.3722245915141684</c:v>
                </c:pt>
                <c:pt idx="292">
                  <c:v>10.020864009982688</c:v>
                </c:pt>
                <c:pt idx="293">
                  <c:v>8.0433774809926035</c:v>
                </c:pt>
                <c:pt idx="294">
                  <c:v>8.782037571319961</c:v>
                </c:pt>
                <c:pt idx="295">
                  <c:v>7.1589326057246581</c:v>
                </c:pt>
                <c:pt idx="296">
                  <c:v>12.245024388568254</c:v>
                </c:pt>
                <c:pt idx="297">
                  <c:v>5.4685884321706908</c:v>
                </c:pt>
                <c:pt idx="298">
                  <c:v>4.0557544981643332</c:v>
                </c:pt>
                <c:pt idx="299">
                  <c:v>8.4661761562128959</c:v>
                </c:pt>
                <c:pt idx="300">
                  <c:v>8.9493193693829198</c:v>
                </c:pt>
                <c:pt idx="301">
                  <c:v>11.634344969539143</c:v>
                </c:pt>
                <c:pt idx="302">
                  <c:v>6.5854618147423025</c:v>
                </c:pt>
                <c:pt idx="303">
                  <c:v>11.444784027901278</c:v>
                </c:pt>
                <c:pt idx="304">
                  <c:v>8.2803870582320087</c:v>
                </c:pt>
                <c:pt idx="305">
                  <c:v>6.1861526271782168</c:v>
                </c:pt>
                <c:pt idx="306">
                  <c:v>10.072704619863543</c:v>
                </c:pt>
                <c:pt idx="307">
                  <c:v>9.1017185250866532</c:v>
                </c:pt>
                <c:pt idx="308">
                  <c:v>10.299674327603498</c:v>
                </c:pt>
                <c:pt idx="309">
                  <c:v>6.9072509445236392</c:v>
                </c:pt>
                <c:pt idx="310">
                  <c:v>11.580338929852587</c:v>
                </c:pt>
                <c:pt idx="311">
                  <c:v>6.9916668328851301</c:v>
                </c:pt>
                <c:pt idx="312">
                  <c:v>8.2218438129193601</c:v>
                </c:pt>
                <c:pt idx="313">
                  <c:v>6.7117973455638094</c:v>
                </c:pt>
                <c:pt idx="314">
                  <c:v>4.8419567393029865</c:v>
                </c:pt>
                <c:pt idx="315">
                  <c:v>4.1757284942818842</c:v>
                </c:pt>
                <c:pt idx="316">
                  <c:v>13.410734702292757</c:v>
                </c:pt>
                <c:pt idx="317">
                  <c:v>5.3461883437225879</c:v>
                </c:pt>
                <c:pt idx="318">
                  <c:v>10.147306352947453</c:v>
                </c:pt>
                <c:pt idx="319">
                  <c:v>9.0169438495763643</c:v>
                </c:pt>
                <c:pt idx="320">
                  <c:v>8.442462253661688</c:v>
                </c:pt>
                <c:pt idx="321">
                  <c:v>8.6400574206199963</c:v>
                </c:pt>
                <c:pt idx="322">
                  <c:v>10.313171396283906</c:v>
                </c:pt>
                <c:pt idx="323">
                  <c:v>9.6622680222940289</c:v>
                </c:pt>
                <c:pt idx="324">
                  <c:v>9.1539898523583361</c:v>
                </c:pt>
                <c:pt idx="325">
                  <c:v>13.407084269895222</c:v>
                </c:pt>
                <c:pt idx="326">
                  <c:v>5.8368386341217047</c:v>
                </c:pt>
                <c:pt idx="327">
                  <c:v>10.874798694737819</c:v>
                </c:pt>
                <c:pt idx="328">
                  <c:v>8.8945850944969607</c:v>
                </c:pt>
                <c:pt idx="329">
                  <c:v>6.3720920259743252</c:v>
                </c:pt>
                <c:pt idx="330">
                  <c:v>8.0728869816684892</c:v>
                </c:pt>
                <c:pt idx="331">
                  <c:v>8.6353732614293222</c:v>
                </c:pt>
                <c:pt idx="332">
                  <c:v>13.962447409092874</c:v>
                </c:pt>
                <c:pt idx="333">
                  <c:v>11.018270584788752</c:v>
                </c:pt>
                <c:pt idx="334">
                  <c:v>13.145640793501116</c:v>
                </c:pt>
                <c:pt idx="335">
                  <c:v>10.93257223666069</c:v>
                </c:pt>
                <c:pt idx="336">
                  <c:v>9.8077343492823275</c:v>
                </c:pt>
                <c:pt idx="337">
                  <c:v>9.2203007454709223</c:v>
                </c:pt>
                <c:pt idx="338">
                  <c:v>16.084745956855841</c:v>
                </c:pt>
                <c:pt idx="339">
                  <c:v>7.1196170705247823</c:v>
                </c:pt>
                <c:pt idx="340">
                  <c:v>8.5810022139812645</c:v>
                </c:pt>
                <c:pt idx="341">
                  <c:v>9.0821415048726521</c:v>
                </c:pt>
                <c:pt idx="342">
                  <c:v>7.3198243041811111</c:v>
                </c:pt>
                <c:pt idx="343">
                  <c:v>11.800633699829177</c:v>
                </c:pt>
                <c:pt idx="344">
                  <c:v>9.9892951752040062</c:v>
                </c:pt>
                <c:pt idx="345">
                  <c:v>9.2010926262837529</c:v>
                </c:pt>
                <c:pt idx="346">
                  <c:v>10.554529329423076</c:v>
                </c:pt>
                <c:pt idx="347">
                  <c:v>11.150544035066105</c:v>
                </c:pt>
                <c:pt idx="348">
                  <c:v>12.860316322779909</c:v>
                </c:pt>
                <c:pt idx="349">
                  <c:v>10.646726657042564</c:v>
                </c:pt>
                <c:pt idx="350">
                  <c:v>10.32646480476842</c:v>
                </c:pt>
                <c:pt idx="351">
                  <c:v>9.7964089292599965</c:v>
                </c:pt>
                <c:pt idx="352">
                  <c:v>9.9073940375287748</c:v>
                </c:pt>
                <c:pt idx="353">
                  <c:v>4.4783976267299295</c:v>
                </c:pt>
                <c:pt idx="354">
                  <c:v>6.7679923404898545</c:v>
                </c:pt>
                <c:pt idx="355">
                  <c:v>8.3779581967460217</c:v>
                </c:pt>
                <c:pt idx="356">
                  <c:v>15.045704629900229</c:v>
                </c:pt>
                <c:pt idx="357">
                  <c:v>10.399604824847756</c:v>
                </c:pt>
                <c:pt idx="358">
                  <c:v>11.12230812826283</c:v>
                </c:pt>
                <c:pt idx="359">
                  <c:v>11.032667421593942</c:v>
                </c:pt>
                <c:pt idx="360">
                  <c:v>7.3954077583875915</c:v>
                </c:pt>
                <c:pt idx="361">
                  <c:v>8.426436949249819</c:v>
                </c:pt>
                <c:pt idx="362">
                  <c:v>11.124444554718593</c:v>
                </c:pt>
                <c:pt idx="363">
                  <c:v>10.675668736090302</c:v>
                </c:pt>
                <c:pt idx="364">
                  <c:v>10.911485056458332</c:v>
                </c:pt>
                <c:pt idx="365">
                  <c:v>8.6960512009245576</c:v>
                </c:pt>
                <c:pt idx="366">
                  <c:v>10.063306034568996</c:v>
                </c:pt>
                <c:pt idx="367">
                  <c:v>8.9090114412911134</c:v>
                </c:pt>
                <c:pt idx="368">
                  <c:v>8.4919794965353503</c:v>
                </c:pt>
                <c:pt idx="369">
                  <c:v>7.4874472905212315</c:v>
                </c:pt>
                <c:pt idx="370">
                  <c:v>11.182693086159816</c:v>
                </c:pt>
                <c:pt idx="371">
                  <c:v>10.192735840633759</c:v>
                </c:pt>
                <c:pt idx="372">
                  <c:v>14.048603971284592</c:v>
                </c:pt>
                <c:pt idx="373">
                  <c:v>8.6834988475438877</c:v>
                </c:pt>
                <c:pt idx="374">
                  <c:v>7.900208708801074</c:v>
                </c:pt>
                <c:pt idx="375">
                  <c:v>8.0442659393033864</c:v>
                </c:pt>
                <c:pt idx="376">
                  <c:v>10.811624865066278</c:v>
                </c:pt>
                <c:pt idx="377">
                  <c:v>7.1268571974155748</c:v>
                </c:pt>
                <c:pt idx="378">
                  <c:v>9.4395918088316648</c:v>
                </c:pt>
                <c:pt idx="379">
                  <c:v>6.8575615244394612</c:v>
                </c:pt>
                <c:pt idx="380">
                  <c:v>10.60784945647265</c:v>
                </c:pt>
                <c:pt idx="381">
                  <c:v>8.6806921899396912</c:v>
                </c:pt>
                <c:pt idx="382">
                  <c:v>4.7238459658960892</c:v>
                </c:pt>
                <c:pt idx="383">
                  <c:v>7.3343564881201928</c:v>
                </c:pt>
                <c:pt idx="384">
                  <c:v>10.534095908437394</c:v>
                </c:pt>
                <c:pt idx="385">
                  <c:v>8.3936660658996516</c:v>
                </c:pt>
                <c:pt idx="386">
                  <c:v>8.4886925499104109</c:v>
                </c:pt>
                <c:pt idx="387">
                  <c:v>11.063260702439038</c:v>
                </c:pt>
                <c:pt idx="388">
                  <c:v>8.451661866150971</c:v>
                </c:pt>
                <c:pt idx="389">
                  <c:v>7.1905617247666669</c:v>
                </c:pt>
                <c:pt idx="390">
                  <c:v>6.9113990246623871</c:v>
                </c:pt>
                <c:pt idx="391">
                  <c:v>5.3105211662000329</c:v>
                </c:pt>
                <c:pt idx="392">
                  <c:v>12.945833173879691</c:v>
                </c:pt>
                <c:pt idx="393">
                  <c:v>11.270854262444118</c:v>
                </c:pt>
                <c:pt idx="394">
                  <c:v>8.9377784948887893</c:v>
                </c:pt>
                <c:pt idx="395">
                  <c:v>9.2211152014947402</c:v>
                </c:pt>
                <c:pt idx="396">
                  <c:v>14.029399779354662</c:v>
                </c:pt>
                <c:pt idx="397">
                  <c:v>8.9690729977523915</c:v>
                </c:pt>
                <c:pt idx="398">
                  <c:v>9.158147985343021</c:v>
                </c:pt>
                <c:pt idx="399">
                  <c:v>9.0174857236615935</c:v>
                </c:pt>
                <c:pt idx="400">
                  <c:v>9.9788247048513767</c:v>
                </c:pt>
                <c:pt idx="401">
                  <c:v>7.8494429938841677</c:v>
                </c:pt>
                <c:pt idx="402">
                  <c:v>6.6255184753640606</c:v>
                </c:pt>
                <c:pt idx="403">
                  <c:v>11.006662406870873</c:v>
                </c:pt>
                <c:pt idx="404">
                  <c:v>8.4312669895693944</c:v>
                </c:pt>
                <c:pt idx="405">
                  <c:v>9.8132996556901162</c:v>
                </c:pt>
                <c:pt idx="406">
                  <c:v>6.7457646323855442</c:v>
                </c:pt>
                <c:pt idx="407">
                  <c:v>7.7530521610347023</c:v>
                </c:pt>
                <c:pt idx="408">
                  <c:v>11.390511834679273</c:v>
                </c:pt>
                <c:pt idx="409">
                  <c:v>9.2360679261050791</c:v>
                </c:pt>
                <c:pt idx="410">
                  <c:v>11.352758002299652</c:v>
                </c:pt>
                <c:pt idx="411">
                  <c:v>16.825175145850608</c:v>
                </c:pt>
                <c:pt idx="412">
                  <c:v>8.9230997739646227</c:v>
                </c:pt>
                <c:pt idx="413">
                  <c:v>10.580844591047935</c:v>
                </c:pt>
                <c:pt idx="414">
                  <c:v>8.8796041278828852</c:v>
                </c:pt>
                <c:pt idx="415">
                  <c:v>6.7787786169565152</c:v>
                </c:pt>
                <c:pt idx="416">
                  <c:v>9.9947883924569396</c:v>
                </c:pt>
                <c:pt idx="417">
                  <c:v>9.6878025764017366</c:v>
                </c:pt>
                <c:pt idx="418">
                  <c:v>9.1037975207723321</c:v>
                </c:pt>
                <c:pt idx="419">
                  <c:v>9.0228438072740573</c:v>
                </c:pt>
                <c:pt idx="420">
                  <c:v>10.441485026131431</c:v>
                </c:pt>
                <c:pt idx="421">
                  <c:v>4.3264185280372658</c:v>
                </c:pt>
                <c:pt idx="422">
                  <c:v>9.246385622123853</c:v>
                </c:pt>
                <c:pt idx="423">
                  <c:v>12.843938713815533</c:v>
                </c:pt>
                <c:pt idx="424">
                  <c:v>7.0982684805453573</c:v>
                </c:pt>
                <c:pt idx="425">
                  <c:v>9.6641703368645722</c:v>
                </c:pt>
                <c:pt idx="426">
                  <c:v>9.2291324426573738</c:v>
                </c:pt>
                <c:pt idx="427">
                  <c:v>11.349358707185274</c:v>
                </c:pt>
                <c:pt idx="428">
                  <c:v>11.741771586629056</c:v>
                </c:pt>
                <c:pt idx="429">
                  <c:v>7.9038046232672059</c:v>
                </c:pt>
                <c:pt idx="430">
                  <c:v>8.9524582241947428</c:v>
                </c:pt>
                <c:pt idx="431">
                  <c:v>7.7388344036453418</c:v>
                </c:pt>
                <c:pt idx="432">
                  <c:v>9.0676658695651895</c:v>
                </c:pt>
                <c:pt idx="433">
                  <c:v>10.602362106974851</c:v>
                </c:pt>
                <c:pt idx="434">
                  <c:v>11.543713470290641</c:v>
                </c:pt>
                <c:pt idx="435">
                  <c:v>13.696197523497631</c:v>
                </c:pt>
                <c:pt idx="436">
                  <c:v>12.673238457676689</c:v>
                </c:pt>
                <c:pt idx="437">
                  <c:v>12.4995452723374</c:v>
                </c:pt>
                <c:pt idx="438">
                  <c:v>12.315284212668303</c:v>
                </c:pt>
                <c:pt idx="439">
                  <c:v>9.3626521015235085</c:v>
                </c:pt>
                <c:pt idx="440">
                  <c:v>10.174356697592884</c:v>
                </c:pt>
                <c:pt idx="441">
                  <c:v>9.6402396042008149</c:v>
                </c:pt>
                <c:pt idx="442">
                  <c:v>12.121925301661577</c:v>
                </c:pt>
                <c:pt idx="443">
                  <c:v>13.692613197132232</c:v>
                </c:pt>
                <c:pt idx="444">
                  <c:v>10.147830746709587</c:v>
                </c:pt>
                <c:pt idx="445">
                  <c:v>6.2138677209441084</c:v>
                </c:pt>
                <c:pt idx="446">
                  <c:v>19.940002330884909</c:v>
                </c:pt>
                <c:pt idx="447">
                  <c:v>10.334134303916017</c:v>
                </c:pt>
                <c:pt idx="448">
                  <c:v>7.7071849327321615</c:v>
                </c:pt>
                <c:pt idx="449">
                  <c:v>11.652144641560881</c:v>
                </c:pt>
                <c:pt idx="450">
                  <c:v>8.1554381501773605</c:v>
                </c:pt>
                <c:pt idx="451">
                  <c:v>9.9846660891603278</c:v>
                </c:pt>
                <c:pt idx="452">
                  <c:v>8.3473705795158821</c:v>
                </c:pt>
                <c:pt idx="453">
                  <c:v>10.615770057630471</c:v>
                </c:pt>
                <c:pt idx="454">
                  <c:v>12.632554181569503</c:v>
                </c:pt>
                <c:pt idx="455">
                  <c:v>11.653649557194512</c:v>
                </c:pt>
                <c:pt idx="456">
                  <c:v>12.057829362598568</c:v>
                </c:pt>
                <c:pt idx="457">
                  <c:v>11.894087235974894</c:v>
                </c:pt>
                <c:pt idx="458">
                  <c:v>5.934095727764543</c:v>
                </c:pt>
                <c:pt idx="459">
                  <c:v>10.729370205786836</c:v>
                </c:pt>
                <c:pt idx="460">
                  <c:v>7.8661777815163987</c:v>
                </c:pt>
                <c:pt idx="461">
                  <c:v>8.8974736097561617</c:v>
                </c:pt>
                <c:pt idx="462">
                  <c:v>13.838551716839902</c:v>
                </c:pt>
                <c:pt idx="463">
                  <c:v>9.3384795580855098</c:v>
                </c:pt>
                <c:pt idx="464">
                  <c:v>9.7850235209652965</c:v>
                </c:pt>
                <c:pt idx="465">
                  <c:v>4.8008274493204226</c:v>
                </c:pt>
                <c:pt idx="466">
                  <c:v>8.8117215638371817</c:v>
                </c:pt>
                <c:pt idx="467">
                  <c:v>8.2682472393498756</c:v>
                </c:pt>
                <c:pt idx="468">
                  <c:v>13.773002417014595</c:v>
                </c:pt>
                <c:pt idx="469">
                  <c:v>11.836146856927826</c:v>
                </c:pt>
                <c:pt idx="470">
                  <c:v>9.1819598263741682</c:v>
                </c:pt>
                <c:pt idx="471">
                  <c:v>9.6541694731267853</c:v>
                </c:pt>
                <c:pt idx="472">
                  <c:v>9.0989823638865346</c:v>
                </c:pt>
                <c:pt idx="473">
                  <c:v>10.084391830412187</c:v>
                </c:pt>
                <c:pt idx="474">
                  <c:v>11.049137953356876</c:v>
                </c:pt>
                <c:pt idx="475">
                  <c:v>13.353751898513565</c:v>
                </c:pt>
                <c:pt idx="476">
                  <c:v>8.707886825530295</c:v>
                </c:pt>
                <c:pt idx="477">
                  <c:v>10.548344910320338</c:v>
                </c:pt>
                <c:pt idx="478">
                  <c:v>9.5610071989008247</c:v>
                </c:pt>
                <c:pt idx="479">
                  <c:v>7.0155591987950174</c:v>
                </c:pt>
                <c:pt idx="480">
                  <c:v>9.9026038632650852</c:v>
                </c:pt>
                <c:pt idx="481">
                  <c:v>8.4562458553054967</c:v>
                </c:pt>
                <c:pt idx="482">
                  <c:v>7.093723783241785</c:v>
                </c:pt>
                <c:pt idx="483">
                  <c:v>10.301434650592455</c:v>
                </c:pt>
                <c:pt idx="484">
                  <c:v>6.6482804386314456</c:v>
                </c:pt>
                <c:pt idx="485">
                  <c:v>8.7423891640296461</c:v>
                </c:pt>
                <c:pt idx="486">
                  <c:v>15.191675346526154</c:v>
                </c:pt>
                <c:pt idx="487">
                  <c:v>5.6410491173282935</c:v>
                </c:pt>
                <c:pt idx="488">
                  <c:v>10.603022907705054</c:v>
                </c:pt>
                <c:pt idx="489">
                  <c:v>9.9453934542416391</c:v>
                </c:pt>
                <c:pt idx="490">
                  <c:v>10.690963639721758</c:v>
                </c:pt>
                <c:pt idx="491">
                  <c:v>9.322451110801012</c:v>
                </c:pt>
                <c:pt idx="492">
                  <c:v>10.518695335380016</c:v>
                </c:pt>
                <c:pt idx="493">
                  <c:v>4.5012699090916612</c:v>
                </c:pt>
                <c:pt idx="494">
                  <c:v>9.3165251803161482</c:v>
                </c:pt>
                <c:pt idx="495">
                  <c:v>12.498057847512882</c:v>
                </c:pt>
                <c:pt idx="496">
                  <c:v>3.8733931656174718</c:v>
                </c:pt>
                <c:pt idx="497">
                  <c:v>12.411505105260858</c:v>
                </c:pt>
                <c:pt idx="498">
                  <c:v>7.8784119228089367</c:v>
                </c:pt>
                <c:pt idx="499">
                  <c:v>7.8688177704002555</c:v>
                </c:pt>
                <c:pt idx="500">
                  <c:v>9.6503142858209685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2-564D-8F58-CE564FEB9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9058735"/>
        <c:axId val="989564527"/>
      </c:lineChart>
      <c:catAx>
        <c:axId val="9890587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564527"/>
        <c:crosses val="autoZero"/>
        <c:auto val="1"/>
        <c:lblAlgn val="ctr"/>
        <c:lblOffset val="100"/>
        <c:noMultiLvlLbl val="0"/>
      </c:catAx>
      <c:valAx>
        <c:axId val="98956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058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</a:t>
            </a:r>
            <a:r>
              <a:rPr lang="en-GB" baseline="0"/>
              <a:t> the money options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Simulate!$O$1:$O$501</c:f>
              <c:numCache>
                <c:formatCode>General</c:formatCode>
                <c:ptCount val="501"/>
                <c:pt idx="0">
                  <c:v>-23.775573310634627</c:v>
                </c:pt>
                <c:pt idx="1">
                  <c:v>-25.144050983424677</c:v>
                </c:pt>
                <c:pt idx="2">
                  <c:v>-23.558847705900916</c:v>
                </c:pt>
                <c:pt idx="3">
                  <c:v>-23.052985020785854</c:v>
                </c:pt>
                <c:pt idx="4">
                  <c:v>-25.725700761386179</c:v>
                </c:pt>
                <c:pt idx="5">
                  <c:v>-23.239762714650624</c:v>
                </c:pt>
                <c:pt idx="6">
                  <c:v>-23.430148624127014</c:v>
                </c:pt>
                <c:pt idx="7">
                  <c:v>-24.252903781328314</c:v>
                </c:pt>
                <c:pt idx="8">
                  <c:v>-24.79939533824745</c:v>
                </c:pt>
                <c:pt idx="9">
                  <c:v>-23.919203886727701</c:v>
                </c:pt>
                <c:pt idx="10">
                  <c:v>-24.857293385286084</c:v>
                </c:pt>
                <c:pt idx="11">
                  <c:v>-26.271246812462323</c:v>
                </c:pt>
                <c:pt idx="12">
                  <c:v>-26.272806039040915</c:v>
                </c:pt>
                <c:pt idx="13">
                  <c:v>-23.319998309483253</c:v>
                </c:pt>
                <c:pt idx="14">
                  <c:v>-21.883355239649063</c:v>
                </c:pt>
                <c:pt idx="15">
                  <c:v>-25.648774995454005</c:v>
                </c:pt>
                <c:pt idx="16">
                  <c:v>-25.286059794354969</c:v>
                </c:pt>
                <c:pt idx="17">
                  <c:v>-23.069921156706187</c:v>
                </c:pt>
                <c:pt idx="18">
                  <c:v>-24.251193225409679</c:v>
                </c:pt>
                <c:pt idx="19">
                  <c:v>-25.993516570399606</c:v>
                </c:pt>
                <c:pt idx="20">
                  <c:v>-25.689722278908903</c:v>
                </c:pt>
                <c:pt idx="21">
                  <c:v>-24.32609016846709</c:v>
                </c:pt>
                <c:pt idx="22">
                  <c:v>-25.267048497308224</c:v>
                </c:pt>
                <c:pt idx="23">
                  <c:v>-24.316204391108386</c:v>
                </c:pt>
                <c:pt idx="24">
                  <c:v>-20.62569896937066</c:v>
                </c:pt>
                <c:pt idx="25">
                  <c:v>-22.706608318046619</c:v>
                </c:pt>
                <c:pt idx="26">
                  <c:v>-24.176671458381406</c:v>
                </c:pt>
                <c:pt idx="27">
                  <c:v>-24.394170687940004</c:v>
                </c:pt>
                <c:pt idx="28">
                  <c:v>-22.473895143725258</c:v>
                </c:pt>
                <c:pt idx="29">
                  <c:v>-25.344489084379347</c:v>
                </c:pt>
                <c:pt idx="30">
                  <c:v>-24.774194282751068</c:v>
                </c:pt>
                <c:pt idx="31">
                  <c:v>-23.500669671477226</c:v>
                </c:pt>
                <c:pt idx="32">
                  <c:v>-21.117697469787799</c:v>
                </c:pt>
                <c:pt idx="33">
                  <c:v>-22.161533058929763</c:v>
                </c:pt>
                <c:pt idx="34">
                  <c:v>-22.122633153314382</c:v>
                </c:pt>
                <c:pt idx="35">
                  <c:v>-22.833154127442867</c:v>
                </c:pt>
                <c:pt idx="36">
                  <c:v>-22.316771349483133</c:v>
                </c:pt>
                <c:pt idx="37">
                  <c:v>-23.374582044894851</c:v>
                </c:pt>
                <c:pt idx="38">
                  <c:v>-23.334650988986596</c:v>
                </c:pt>
                <c:pt idx="39">
                  <c:v>-25.226083436286444</c:v>
                </c:pt>
                <c:pt idx="40">
                  <c:v>-24.54340638274698</c:v>
                </c:pt>
                <c:pt idx="41">
                  <c:v>-21.999027457713964</c:v>
                </c:pt>
                <c:pt idx="42">
                  <c:v>-23.637026230557694</c:v>
                </c:pt>
                <c:pt idx="43">
                  <c:v>-21.943184976481007</c:v>
                </c:pt>
                <c:pt idx="44">
                  <c:v>-22.702610626665319</c:v>
                </c:pt>
                <c:pt idx="45">
                  <c:v>-25.282325685680007</c:v>
                </c:pt>
                <c:pt idx="46">
                  <c:v>-23.488446711375218</c:v>
                </c:pt>
                <c:pt idx="47">
                  <c:v>-22.499881798506522</c:v>
                </c:pt>
                <c:pt idx="48">
                  <c:v>-23.738859063337713</c:v>
                </c:pt>
                <c:pt idx="49">
                  <c:v>-26.785964382801922</c:v>
                </c:pt>
                <c:pt idx="50">
                  <c:v>-26.230822314419584</c:v>
                </c:pt>
                <c:pt idx="51">
                  <c:v>-22.358637437891048</c:v>
                </c:pt>
                <c:pt idx="52">
                  <c:v>-23.317327583742099</c:v>
                </c:pt>
                <c:pt idx="53">
                  <c:v>-24.104442172668769</c:v>
                </c:pt>
                <c:pt idx="54">
                  <c:v>-23.440426324498276</c:v>
                </c:pt>
                <c:pt idx="55">
                  <c:v>-24.30627573638867</c:v>
                </c:pt>
                <c:pt idx="56">
                  <c:v>-23.201729337045435</c:v>
                </c:pt>
                <c:pt idx="57">
                  <c:v>-23.984441062416408</c:v>
                </c:pt>
                <c:pt idx="58">
                  <c:v>-24.812812077032959</c:v>
                </c:pt>
                <c:pt idx="59">
                  <c:v>-25.973672601870476</c:v>
                </c:pt>
                <c:pt idx="60">
                  <c:v>-24.29727806309711</c:v>
                </c:pt>
                <c:pt idx="61">
                  <c:v>-24.717161959569694</c:v>
                </c:pt>
                <c:pt idx="62">
                  <c:v>-25.750521269635101</c:v>
                </c:pt>
                <c:pt idx="63">
                  <c:v>-26.066625426270093</c:v>
                </c:pt>
                <c:pt idx="64">
                  <c:v>-24.04189378605588</c:v>
                </c:pt>
                <c:pt idx="65">
                  <c:v>-24.278972096556117</c:v>
                </c:pt>
                <c:pt idx="66">
                  <c:v>-23.946200605116246</c:v>
                </c:pt>
                <c:pt idx="67">
                  <c:v>-21.742525547922014</c:v>
                </c:pt>
                <c:pt idx="68">
                  <c:v>-23.870526812239405</c:v>
                </c:pt>
                <c:pt idx="69">
                  <c:v>-24.208814228430128</c:v>
                </c:pt>
                <c:pt idx="70">
                  <c:v>-22.001944452048065</c:v>
                </c:pt>
                <c:pt idx="71">
                  <c:v>-24.703445062190895</c:v>
                </c:pt>
                <c:pt idx="72">
                  <c:v>-21.365094627935378</c:v>
                </c:pt>
                <c:pt idx="73">
                  <c:v>-25.326809121474525</c:v>
                </c:pt>
                <c:pt idx="74">
                  <c:v>-24.779717253294166</c:v>
                </c:pt>
                <c:pt idx="75">
                  <c:v>-22.181628635301422</c:v>
                </c:pt>
                <c:pt idx="76">
                  <c:v>-23.151860295945426</c:v>
                </c:pt>
                <c:pt idx="77">
                  <c:v>-23.084884054887425</c:v>
                </c:pt>
                <c:pt idx="78">
                  <c:v>-23.873141815603958</c:v>
                </c:pt>
                <c:pt idx="79">
                  <c:v>-24.524840779902661</c:v>
                </c:pt>
                <c:pt idx="80">
                  <c:v>-23.92143733220837</c:v>
                </c:pt>
                <c:pt idx="81">
                  <c:v>-24.943319072207487</c:v>
                </c:pt>
                <c:pt idx="82">
                  <c:v>-24.451093185696209</c:v>
                </c:pt>
                <c:pt idx="83">
                  <c:v>-25.042440458285455</c:v>
                </c:pt>
                <c:pt idx="84">
                  <c:v>-27.033601956688017</c:v>
                </c:pt>
                <c:pt idx="85">
                  <c:v>-22.202902164776788</c:v>
                </c:pt>
                <c:pt idx="86">
                  <c:v>-26.491215191514584</c:v>
                </c:pt>
                <c:pt idx="87">
                  <c:v>-24.462009975389265</c:v>
                </c:pt>
                <c:pt idx="88">
                  <c:v>-22.087655896239085</c:v>
                </c:pt>
                <c:pt idx="89">
                  <c:v>-24.841692192515438</c:v>
                </c:pt>
                <c:pt idx="90">
                  <c:v>-24.421035510031743</c:v>
                </c:pt>
                <c:pt idx="91">
                  <c:v>-25.530769777349178</c:v>
                </c:pt>
                <c:pt idx="92">
                  <c:v>-24.313204597864114</c:v>
                </c:pt>
                <c:pt idx="93">
                  <c:v>-24.3114415034388</c:v>
                </c:pt>
                <c:pt idx="94">
                  <c:v>-24.399926278908879</c:v>
                </c:pt>
                <c:pt idx="95">
                  <c:v>-23.372454687754271</c:v>
                </c:pt>
                <c:pt idx="96">
                  <c:v>-24.356177716020738</c:v>
                </c:pt>
                <c:pt idx="97">
                  <c:v>-22.120461895688095</c:v>
                </c:pt>
                <c:pt idx="98">
                  <c:v>-23.808069749755305</c:v>
                </c:pt>
                <c:pt idx="99">
                  <c:v>-26.476107350718848</c:v>
                </c:pt>
                <c:pt idx="100">
                  <c:v>-24.434723761916302</c:v>
                </c:pt>
                <c:pt idx="101">
                  <c:v>-22.80614438492421</c:v>
                </c:pt>
                <c:pt idx="102">
                  <c:v>-23.032069638275971</c:v>
                </c:pt>
                <c:pt idx="103">
                  <c:v>-27.201309973235766</c:v>
                </c:pt>
                <c:pt idx="104">
                  <c:v>-26.302245725900775</c:v>
                </c:pt>
                <c:pt idx="105">
                  <c:v>-25.229308952823885</c:v>
                </c:pt>
                <c:pt idx="106">
                  <c:v>-24.121363191719865</c:v>
                </c:pt>
                <c:pt idx="107">
                  <c:v>-23.033123111148143</c:v>
                </c:pt>
                <c:pt idx="108">
                  <c:v>-24.075991811460426</c:v>
                </c:pt>
                <c:pt idx="109">
                  <c:v>-21.307619357451586</c:v>
                </c:pt>
                <c:pt idx="110">
                  <c:v>-26.477387865382752</c:v>
                </c:pt>
                <c:pt idx="111">
                  <c:v>-26.57576133019802</c:v>
                </c:pt>
                <c:pt idx="112">
                  <c:v>-24.10448854133665</c:v>
                </c:pt>
                <c:pt idx="113">
                  <c:v>-23.666855836472678</c:v>
                </c:pt>
                <c:pt idx="114">
                  <c:v>-23.566957282354451</c:v>
                </c:pt>
                <c:pt idx="115">
                  <c:v>-24.869887193246541</c:v>
                </c:pt>
                <c:pt idx="116">
                  <c:v>-23.207184825229433</c:v>
                </c:pt>
                <c:pt idx="117">
                  <c:v>-24.117164733040681</c:v>
                </c:pt>
                <c:pt idx="118">
                  <c:v>-22.713758464951752</c:v>
                </c:pt>
                <c:pt idx="119">
                  <c:v>-22.691633164463383</c:v>
                </c:pt>
                <c:pt idx="120">
                  <c:v>-25.908859092016883</c:v>
                </c:pt>
                <c:pt idx="121">
                  <c:v>-23.49124975014729</c:v>
                </c:pt>
                <c:pt idx="122">
                  <c:v>-22.672318408506271</c:v>
                </c:pt>
                <c:pt idx="123">
                  <c:v>-23.877468749830314</c:v>
                </c:pt>
                <c:pt idx="124">
                  <c:v>-22.740636261044074</c:v>
                </c:pt>
                <c:pt idx="125">
                  <c:v>-26.898991719279365</c:v>
                </c:pt>
                <c:pt idx="126">
                  <c:v>-26.387678019991199</c:v>
                </c:pt>
                <c:pt idx="127">
                  <c:v>-27.095838760351398</c:v>
                </c:pt>
                <c:pt idx="128">
                  <c:v>-26.339991013128838</c:v>
                </c:pt>
                <c:pt idx="129">
                  <c:v>-26.165567230118086</c:v>
                </c:pt>
                <c:pt idx="130">
                  <c:v>-22.726576512215161</c:v>
                </c:pt>
                <c:pt idx="131">
                  <c:v>-23.919107784834068</c:v>
                </c:pt>
                <c:pt idx="132">
                  <c:v>-23.756042141362286</c:v>
                </c:pt>
                <c:pt idx="133">
                  <c:v>-22.536236106672277</c:v>
                </c:pt>
                <c:pt idx="134">
                  <c:v>-26.299717486611826</c:v>
                </c:pt>
                <c:pt idx="135">
                  <c:v>-25.98257003980325</c:v>
                </c:pt>
                <c:pt idx="136">
                  <c:v>-21.633757979518123</c:v>
                </c:pt>
                <c:pt idx="137">
                  <c:v>-24.185531951168286</c:v>
                </c:pt>
                <c:pt idx="138">
                  <c:v>-25.127665858987257</c:v>
                </c:pt>
                <c:pt idx="139">
                  <c:v>-24.151577511339383</c:v>
                </c:pt>
                <c:pt idx="140">
                  <c:v>-24.777950683540439</c:v>
                </c:pt>
                <c:pt idx="141">
                  <c:v>-28.721698350565021</c:v>
                </c:pt>
                <c:pt idx="142">
                  <c:v>-22.395828327406434</c:v>
                </c:pt>
                <c:pt idx="143">
                  <c:v>-25.340690809925036</c:v>
                </c:pt>
                <c:pt idx="144">
                  <c:v>-23.125529156156517</c:v>
                </c:pt>
                <c:pt idx="145">
                  <c:v>-23.036167393556298</c:v>
                </c:pt>
                <c:pt idx="146">
                  <c:v>-22.615461910966133</c:v>
                </c:pt>
                <c:pt idx="147">
                  <c:v>-24.562093972475395</c:v>
                </c:pt>
                <c:pt idx="148">
                  <c:v>-23.314706909627148</c:v>
                </c:pt>
                <c:pt idx="149">
                  <c:v>-24.41567558579618</c:v>
                </c:pt>
                <c:pt idx="150">
                  <c:v>-22.806288082371339</c:v>
                </c:pt>
                <c:pt idx="151">
                  <c:v>-20.604444411188979</c:v>
                </c:pt>
                <c:pt idx="152">
                  <c:v>-25.76926469365435</c:v>
                </c:pt>
                <c:pt idx="153">
                  <c:v>-23.030150778002735</c:v>
                </c:pt>
                <c:pt idx="154">
                  <c:v>-25.139668023348804</c:v>
                </c:pt>
                <c:pt idx="155">
                  <c:v>-26.787956336278512</c:v>
                </c:pt>
                <c:pt idx="156">
                  <c:v>-24.152398291973896</c:v>
                </c:pt>
                <c:pt idx="157">
                  <c:v>-23.160564760033594</c:v>
                </c:pt>
                <c:pt idx="158">
                  <c:v>-23.119387103532063</c:v>
                </c:pt>
                <c:pt idx="159">
                  <c:v>-24.050847090511525</c:v>
                </c:pt>
                <c:pt idx="160">
                  <c:v>-25.591782370357123</c:v>
                </c:pt>
                <c:pt idx="161">
                  <c:v>-21.9782338065761</c:v>
                </c:pt>
                <c:pt idx="162">
                  <c:v>-26.027601593829331</c:v>
                </c:pt>
                <c:pt idx="163">
                  <c:v>-25.706665000240719</c:v>
                </c:pt>
                <c:pt idx="164">
                  <c:v>-25.08468688996436</c:v>
                </c:pt>
                <c:pt idx="165">
                  <c:v>-22.670297651201508</c:v>
                </c:pt>
                <c:pt idx="166">
                  <c:v>-21.145645425485327</c:v>
                </c:pt>
                <c:pt idx="167">
                  <c:v>-22.55795241775013</c:v>
                </c:pt>
                <c:pt idx="168">
                  <c:v>-23.074951990020054</c:v>
                </c:pt>
                <c:pt idx="169">
                  <c:v>-25.710335531114652</c:v>
                </c:pt>
                <c:pt idx="170">
                  <c:v>-23.711719156251092</c:v>
                </c:pt>
                <c:pt idx="171">
                  <c:v>-21.517930039855401</c:v>
                </c:pt>
                <c:pt idx="172">
                  <c:v>-24.93003362553236</c:v>
                </c:pt>
                <c:pt idx="173">
                  <c:v>-23.101317307202862</c:v>
                </c:pt>
                <c:pt idx="174">
                  <c:v>-25.848669127954054</c:v>
                </c:pt>
                <c:pt idx="175">
                  <c:v>-22.390529358962795</c:v>
                </c:pt>
                <c:pt idx="176">
                  <c:v>-23.38470544565098</c:v>
                </c:pt>
                <c:pt idx="177">
                  <c:v>-24.235062953045144</c:v>
                </c:pt>
                <c:pt idx="178">
                  <c:v>-24.836925583670563</c:v>
                </c:pt>
                <c:pt idx="179">
                  <c:v>-21.096283103539463</c:v>
                </c:pt>
                <c:pt idx="180">
                  <c:v>-26.705702124465915</c:v>
                </c:pt>
                <c:pt idx="181">
                  <c:v>-24.357512205287549</c:v>
                </c:pt>
                <c:pt idx="182">
                  <c:v>-24.264305257435808</c:v>
                </c:pt>
                <c:pt idx="183">
                  <c:v>-23.264188946710874</c:v>
                </c:pt>
                <c:pt idx="184">
                  <c:v>-24.105746946733234</c:v>
                </c:pt>
                <c:pt idx="185">
                  <c:v>-22.809894289829572</c:v>
                </c:pt>
                <c:pt idx="186">
                  <c:v>-24.246296861106202</c:v>
                </c:pt>
                <c:pt idx="187">
                  <c:v>-24.133913907633541</c:v>
                </c:pt>
                <c:pt idx="188">
                  <c:v>-22.542354363912182</c:v>
                </c:pt>
                <c:pt idx="189">
                  <c:v>-23.744371180409416</c:v>
                </c:pt>
                <c:pt idx="190">
                  <c:v>-25.439711397368683</c:v>
                </c:pt>
                <c:pt idx="191">
                  <c:v>-23.46127432428284</c:v>
                </c:pt>
                <c:pt idx="192">
                  <c:v>-26.066611600439501</c:v>
                </c:pt>
                <c:pt idx="193">
                  <c:v>-23.739119470879359</c:v>
                </c:pt>
                <c:pt idx="194">
                  <c:v>-22.380982292672343</c:v>
                </c:pt>
                <c:pt idx="195">
                  <c:v>-23.503531025226948</c:v>
                </c:pt>
                <c:pt idx="196">
                  <c:v>-24.473833419846869</c:v>
                </c:pt>
                <c:pt idx="197">
                  <c:v>-23.204315835600937</c:v>
                </c:pt>
                <c:pt idx="198">
                  <c:v>-23.275297297180259</c:v>
                </c:pt>
                <c:pt idx="199">
                  <c:v>-22.831666179134572</c:v>
                </c:pt>
                <c:pt idx="200">
                  <c:v>-24.816558123043706</c:v>
                </c:pt>
                <c:pt idx="201">
                  <c:v>-23.818867810467054</c:v>
                </c:pt>
                <c:pt idx="202">
                  <c:v>-25.668529613854844</c:v>
                </c:pt>
                <c:pt idx="203">
                  <c:v>-24.221929658030149</c:v>
                </c:pt>
                <c:pt idx="204">
                  <c:v>-25.263392025421581</c:v>
                </c:pt>
                <c:pt idx="205">
                  <c:v>-24.933333006345038</c:v>
                </c:pt>
                <c:pt idx="206">
                  <c:v>-24.855683898183997</c:v>
                </c:pt>
                <c:pt idx="207">
                  <c:v>-20.432982807998542</c:v>
                </c:pt>
                <c:pt idx="208">
                  <c:v>-24.327253821562408</c:v>
                </c:pt>
                <c:pt idx="209">
                  <c:v>-21.693116669675874</c:v>
                </c:pt>
                <c:pt idx="210">
                  <c:v>-22.849287365680539</c:v>
                </c:pt>
                <c:pt idx="211">
                  <c:v>-24.160996945244278</c:v>
                </c:pt>
                <c:pt idx="212">
                  <c:v>-22.220567014183871</c:v>
                </c:pt>
                <c:pt idx="213">
                  <c:v>-23.476402016167867</c:v>
                </c:pt>
                <c:pt idx="214">
                  <c:v>-25.12652276650806</c:v>
                </c:pt>
                <c:pt idx="215">
                  <c:v>-23.559101301458668</c:v>
                </c:pt>
                <c:pt idx="216">
                  <c:v>-24.925071996401584</c:v>
                </c:pt>
                <c:pt idx="217">
                  <c:v>-23.865380701978211</c:v>
                </c:pt>
                <c:pt idx="218">
                  <c:v>-23.913237202806613</c:v>
                </c:pt>
                <c:pt idx="219">
                  <c:v>-23.164200206342684</c:v>
                </c:pt>
                <c:pt idx="220">
                  <c:v>-24.785879760481293</c:v>
                </c:pt>
                <c:pt idx="221">
                  <c:v>-24.333641622013602</c:v>
                </c:pt>
                <c:pt idx="222">
                  <c:v>-25.822083847437625</c:v>
                </c:pt>
                <c:pt idx="223">
                  <c:v>-25.061457333419185</c:v>
                </c:pt>
                <c:pt idx="224">
                  <c:v>-25.478609701003734</c:v>
                </c:pt>
                <c:pt idx="225">
                  <c:v>-26.790281774642608</c:v>
                </c:pt>
                <c:pt idx="226">
                  <c:v>-22.744788080157832</c:v>
                </c:pt>
                <c:pt idx="227">
                  <c:v>-22.781216335808949</c:v>
                </c:pt>
                <c:pt idx="228">
                  <c:v>-22.698267928040877</c:v>
                </c:pt>
                <c:pt idx="229">
                  <c:v>-23.943959640718276</c:v>
                </c:pt>
                <c:pt idx="230">
                  <c:v>-24.490097102597247</c:v>
                </c:pt>
                <c:pt idx="231">
                  <c:v>-23.315516439360636</c:v>
                </c:pt>
                <c:pt idx="232">
                  <c:v>-24.903638526286613</c:v>
                </c:pt>
                <c:pt idx="233">
                  <c:v>-24.811677417078954</c:v>
                </c:pt>
                <c:pt idx="234">
                  <c:v>-23.738555613290373</c:v>
                </c:pt>
                <c:pt idx="235">
                  <c:v>-22.401100067804236</c:v>
                </c:pt>
                <c:pt idx="236">
                  <c:v>-19.899775677366961</c:v>
                </c:pt>
                <c:pt idx="237">
                  <c:v>-24.79467765605159</c:v>
                </c:pt>
                <c:pt idx="238">
                  <c:v>-25.132787346644818</c:v>
                </c:pt>
                <c:pt idx="239">
                  <c:v>-23.381578851200175</c:v>
                </c:pt>
                <c:pt idx="240">
                  <c:v>-23.624996651873062</c:v>
                </c:pt>
                <c:pt idx="241">
                  <c:v>-23.159458922816157</c:v>
                </c:pt>
                <c:pt idx="242">
                  <c:v>-23.797736646730755</c:v>
                </c:pt>
                <c:pt idx="243">
                  <c:v>-26.68404354645736</c:v>
                </c:pt>
                <c:pt idx="244">
                  <c:v>-23.924002525613105</c:v>
                </c:pt>
                <c:pt idx="245">
                  <c:v>-24.193225798006551</c:v>
                </c:pt>
                <c:pt idx="246">
                  <c:v>-21.416593057145747</c:v>
                </c:pt>
                <c:pt idx="247">
                  <c:v>-23.283967766574278</c:v>
                </c:pt>
                <c:pt idx="248">
                  <c:v>-21.634181102437651</c:v>
                </c:pt>
                <c:pt idx="249">
                  <c:v>-22.797967588274332</c:v>
                </c:pt>
                <c:pt idx="250">
                  <c:v>-26.635893786905854</c:v>
                </c:pt>
                <c:pt idx="251">
                  <c:v>-21.134061983625998</c:v>
                </c:pt>
                <c:pt idx="252">
                  <c:v>-22.819627713126465</c:v>
                </c:pt>
                <c:pt idx="253">
                  <c:v>-21.364760744074374</c:v>
                </c:pt>
                <c:pt idx="254">
                  <c:v>-23.266523835933185</c:v>
                </c:pt>
                <c:pt idx="255">
                  <c:v>-21.336598257789319</c:v>
                </c:pt>
                <c:pt idx="256">
                  <c:v>-24.095868501737186</c:v>
                </c:pt>
                <c:pt idx="257">
                  <c:v>-24.887784835057573</c:v>
                </c:pt>
                <c:pt idx="258">
                  <c:v>-21.591068018065016</c:v>
                </c:pt>
                <c:pt idx="259">
                  <c:v>-22.823571102867845</c:v>
                </c:pt>
                <c:pt idx="260">
                  <c:v>-22.015640450076717</c:v>
                </c:pt>
                <c:pt idx="261">
                  <c:v>-26.045580101481391</c:v>
                </c:pt>
                <c:pt idx="262">
                  <c:v>-22.912700942126776</c:v>
                </c:pt>
                <c:pt idx="263">
                  <c:v>-23.137987800287647</c:v>
                </c:pt>
                <c:pt idx="264">
                  <c:v>-25.906902810677366</c:v>
                </c:pt>
                <c:pt idx="265">
                  <c:v>-22.436135633051435</c:v>
                </c:pt>
                <c:pt idx="266">
                  <c:v>-22.294868662384488</c:v>
                </c:pt>
                <c:pt idx="267">
                  <c:v>-23.716701047912011</c:v>
                </c:pt>
                <c:pt idx="268">
                  <c:v>-24.028982387839733</c:v>
                </c:pt>
                <c:pt idx="269">
                  <c:v>-23.341053463109347</c:v>
                </c:pt>
                <c:pt idx="270">
                  <c:v>-25.289957283102467</c:v>
                </c:pt>
                <c:pt idx="271">
                  <c:v>-25.978327718232322</c:v>
                </c:pt>
                <c:pt idx="272">
                  <c:v>-22.575061708361318</c:v>
                </c:pt>
                <c:pt idx="273">
                  <c:v>-22.519506079707753</c:v>
                </c:pt>
                <c:pt idx="274">
                  <c:v>-23.544912098555415</c:v>
                </c:pt>
                <c:pt idx="275">
                  <c:v>-23.591713050272119</c:v>
                </c:pt>
                <c:pt idx="276">
                  <c:v>-24.635487762462162</c:v>
                </c:pt>
                <c:pt idx="277">
                  <c:v>-21.577153067043128</c:v>
                </c:pt>
                <c:pt idx="278">
                  <c:v>-28.155959654417529</c:v>
                </c:pt>
                <c:pt idx="279">
                  <c:v>-24.170730413759429</c:v>
                </c:pt>
                <c:pt idx="280">
                  <c:v>-24.935341423057707</c:v>
                </c:pt>
                <c:pt idx="281">
                  <c:v>-26.21525930150392</c:v>
                </c:pt>
                <c:pt idx="282">
                  <c:v>-22.169842285752566</c:v>
                </c:pt>
                <c:pt idx="283">
                  <c:v>-23.367756219241983</c:v>
                </c:pt>
                <c:pt idx="284">
                  <c:v>-24.552464905529177</c:v>
                </c:pt>
                <c:pt idx="285">
                  <c:v>-21.885527593323332</c:v>
                </c:pt>
                <c:pt idx="286">
                  <c:v>-23.905624476215053</c:v>
                </c:pt>
                <c:pt idx="287">
                  <c:v>-26.123792026269712</c:v>
                </c:pt>
                <c:pt idx="288">
                  <c:v>-24.21215479663806</c:v>
                </c:pt>
                <c:pt idx="289">
                  <c:v>-22.844326136695145</c:v>
                </c:pt>
                <c:pt idx="290">
                  <c:v>-20.794039214723853</c:v>
                </c:pt>
                <c:pt idx="291">
                  <c:v>-22.945776790874334</c:v>
                </c:pt>
                <c:pt idx="292">
                  <c:v>-23.840886137499183</c:v>
                </c:pt>
                <c:pt idx="293">
                  <c:v>-24.495854082308142</c:v>
                </c:pt>
                <c:pt idx="294">
                  <c:v>-22.581436544820463</c:v>
                </c:pt>
                <c:pt idx="295">
                  <c:v>-22.491914412426922</c:v>
                </c:pt>
                <c:pt idx="296">
                  <c:v>-24.01103117386765</c:v>
                </c:pt>
                <c:pt idx="297">
                  <c:v>-21.865549971441851</c:v>
                </c:pt>
                <c:pt idx="298">
                  <c:v>-25.260507125281947</c:v>
                </c:pt>
                <c:pt idx="299">
                  <c:v>-24.692771960502796</c:v>
                </c:pt>
                <c:pt idx="300">
                  <c:v>-24.576754546282245</c:v>
                </c:pt>
                <c:pt idx="301">
                  <c:v>-24.671458458902634</c:v>
                </c:pt>
                <c:pt idx="302">
                  <c:v>-25.556694872331718</c:v>
                </c:pt>
                <c:pt idx="303">
                  <c:v>-25.369120647885666</c:v>
                </c:pt>
                <c:pt idx="304">
                  <c:v>-24.0208674607793</c:v>
                </c:pt>
                <c:pt idx="305">
                  <c:v>-23.969442502225775</c:v>
                </c:pt>
                <c:pt idx="306">
                  <c:v>-24.525132572802704</c:v>
                </c:pt>
                <c:pt idx="307">
                  <c:v>-23.996092139002485</c:v>
                </c:pt>
                <c:pt idx="308">
                  <c:v>-26.498340384698167</c:v>
                </c:pt>
                <c:pt idx="309">
                  <c:v>-24.436670289787344</c:v>
                </c:pt>
                <c:pt idx="310">
                  <c:v>-24.742421984554312</c:v>
                </c:pt>
                <c:pt idx="311">
                  <c:v>-22.925373313250475</c:v>
                </c:pt>
                <c:pt idx="312">
                  <c:v>-24.894614323333826</c:v>
                </c:pt>
                <c:pt idx="313">
                  <c:v>-23.16021418735636</c:v>
                </c:pt>
                <c:pt idx="314">
                  <c:v>-26.149263587805763</c:v>
                </c:pt>
                <c:pt idx="315">
                  <c:v>-23.901069956320498</c:v>
                </c:pt>
                <c:pt idx="316">
                  <c:v>-24.617822433970559</c:v>
                </c:pt>
                <c:pt idx="317">
                  <c:v>-24.556403665080325</c:v>
                </c:pt>
                <c:pt idx="318">
                  <c:v>-24.425215874420246</c:v>
                </c:pt>
                <c:pt idx="319">
                  <c:v>-21.921468388266021</c:v>
                </c:pt>
                <c:pt idx="320">
                  <c:v>-23.623262583372707</c:v>
                </c:pt>
                <c:pt idx="321">
                  <c:v>-26.070972679885926</c:v>
                </c:pt>
                <c:pt idx="322">
                  <c:v>-24.375037113006783</c:v>
                </c:pt>
                <c:pt idx="323">
                  <c:v>-25.398018868164854</c:v>
                </c:pt>
                <c:pt idx="324">
                  <c:v>-22.958016954823506</c:v>
                </c:pt>
                <c:pt idx="325">
                  <c:v>-23.560503994812279</c:v>
                </c:pt>
                <c:pt idx="326">
                  <c:v>-23.469337916134918</c:v>
                </c:pt>
                <c:pt idx="327">
                  <c:v>-22.734674235008697</c:v>
                </c:pt>
                <c:pt idx="328">
                  <c:v>-22.433941250477801</c:v>
                </c:pt>
                <c:pt idx="329">
                  <c:v>-24.262815730826787</c:v>
                </c:pt>
                <c:pt idx="330">
                  <c:v>-22.207390591674994</c:v>
                </c:pt>
                <c:pt idx="331">
                  <c:v>-22.927116707367531</c:v>
                </c:pt>
                <c:pt idx="332">
                  <c:v>-26.330810396198558</c:v>
                </c:pt>
                <c:pt idx="333">
                  <c:v>-22.70666871864114</c:v>
                </c:pt>
                <c:pt idx="334">
                  <c:v>-24.717243042208793</c:v>
                </c:pt>
                <c:pt idx="335">
                  <c:v>-24.36241597748085</c:v>
                </c:pt>
                <c:pt idx="336">
                  <c:v>-21.363287450726602</c:v>
                </c:pt>
                <c:pt idx="337">
                  <c:v>-20.432288732233701</c:v>
                </c:pt>
                <c:pt idx="338">
                  <c:v>-24.069147505687397</c:v>
                </c:pt>
                <c:pt idx="339">
                  <c:v>-20.597782224410366</c:v>
                </c:pt>
                <c:pt idx="340">
                  <c:v>-23.976538174688812</c:v>
                </c:pt>
                <c:pt idx="341">
                  <c:v>-23.770416030989054</c:v>
                </c:pt>
                <c:pt idx="342">
                  <c:v>-23.254406848978306</c:v>
                </c:pt>
                <c:pt idx="343">
                  <c:v>-24.713492772945301</c:v>
                </c:pt>
                <c:pt idx="344">
                  <c:v>-22.059251965366002</c:v>
                </c:pt>
                <c:pt idx="345">
                  <c:v>-24.95624323271204</c:v>
                </c:pt>
                <c:pt idx="346">
                  <c:v>-23.639720803200817</c:v>
                </c:pt>
                <c:pt idx="347">
                  <c:v>-22.482073362092251</c:v>
                </c:pt>
                <c:pt idx="348">
                  <c:v>-22.852883344834027</c:v>
                </c:pt>
                <c:pt idx="349">
                  <c:v>-25.730960372056416</c:v>
                </c:pt>
                <c:pt idx="350">
                  <c:v>-22.203495171355826</c:v>
                </c:pt>
                <c:pt idx="351">
                  <c:v>-24.701848253323078</c:v>
                </c:pt>
                <c:pt idx="352">
                  <c:v>-23.684906068421242</c:v>
                </c:pt>
                <c:pt idx="353">
                  <c:v>-24.8875481491541</c:v>
                </c:pt>
                <c:pt idx="354">
                  <c:v>-24.966328465580773</c:v>
                </c:pt>
                <c:pt idx="355">
                  <c:v>-23.733710666694606</c:v>
                </c:pt>
                <c:pt idx="356">
                  <c:v>-24.665697512365114</c:v>
                </c:pt>
                <c:pt idx="357">
                  <c:v>-24.032893020871597</c:v>
                </c:pt>
                <c:pt idx="358">
                  <c:v>-23.61457055894607</c:v>
                </c:pt>
                <c:pt idx="359">
                  <c:v>-22.289100062170291</c:v>
                </c:pt>
                <c:pt idx="360">
                  <c:v>-23.84757911093584</c:v>
                </c:pt>
                <c:pt idx="361">
                  <c:v>-24.788564277899695</c:v>
                </c:pt>
                <c:pt idx="362">
                  <c:v>-23.495518133025598</c:v>
                </c:pt>
                <c:pt idx="363">
                  <c:v>-25.36868000133336</c:v>
                </c:pt>
                <c:pt idx="364">
                  <c:v>-21.646248797210319</c:v>
                </c:pt>
                <c:pt idx="365">
                  <c:v>-23.547362644986606</c:v>
                </c:pt>
                <c:pt idx="366">
                  <c:v>-25.948775654161636</c:v>
                </c:pt>
                <c:pt idx="367">
                  <c:v>-24.877104561668148</c:v>
                </c:pt>
                <c:pt idx="368">
                  <c:v>-25.183933781034739</c:v>
                </c:pt>
                <c:pt idx="369">
                  <c:v>-23.935748333845822</c:v>
                </c:pt>
                <c:pt idx="370">
                  <c:v>-23.570300817880252</c:v>
                </c:pt>
                <c:pt idx="371">
                  <c:v>-24.041338225454638</c:v>
                </c:pt>
                <c:pt idx="372">
                  <c:v>-25.255898700776925</c:v>
                </c:pt>
                <c:pt idx="373">
                  <c:v>-20.676431374934509</c:v>
                </c:pt>
                <c:pt idx="374">
                  <c:v>-22.429587434881341</c:v>
                </c:pt>
                <c:pt idx="375">
                  <c:v>-23.257889931907357</c:v>
                </c:pt>
                <c:pt idx="376">
                  <c:v>-24.884268624166907</c:v>
                </c:pt>
                <c:pt idx="377">
                  <c:v>-24.088578917731411</c:v>
                </c:pt>
                <c:pt idx="378">
                  <c:v>-25.162069558931762</c:v>
                </c:pt>
                <c:pt idx="379">
                  <c:v>-23.117756108148569</c:v>
                </c:pt>
                <c:pt idx="380">
                  <c:v>-25.077223261394465</c:v>
                </c:pt>
                <c:pt idx="381">
                  <c:v>-23.970034186481826</c:v>
                </c:pt>
                <c:pt idx="382">
                  <c:v>-23.798076509942348</c:v>
                </c:pt>
                <c:pt idx="383">
                  <c:v>-24.29200943305068</c:v>
                </c:pt>
                <c:pt idx="384">
                  <c:v>-21.084752031553307</c:v>
                </c:pt>
                <c:pt idx="385">
                  <c:v>-21.77055068863001</c:v>
                </c:pt>
                <c:pt idx="386">
                  <c:v>-21.551791169032185</c:v>
                </c:pt>
                <c:pt idx="387">
                  <c:v>-24.309610874587634</c:v>
                </c:pt>
                <c:pt idx="388">
                  <c:v>-21.834523446027561</c:v>
                </c:pt>
                <c:pt idx="389">
                  <c:v>-23.75359957667888</c:v>
                </c:pt>
                <c:pt idx="390">
                  <c:v>-25.403538941233819</c:v>
                </c:pt>
                <c:pt idx="391">
                  <c:v>-22.156826537878715</c:v>
                </c:pt>
                <c:pt idx="392">
                  <c:v>-24.0548323441908</c:v>
                </c:pt>
                <c:pt idx="393">
                  <c:v>-22.299346682907981</c:v>
                </c:pt>
                <c:pt idx="394">
                  <c:v>-24.205975559340914</c:v>
                </c:pt>
                <c:pt idx="395">
                  <c:v>-23.059872143211578</c:v>
                </c:pt>
                <c:pt idx="396">
                  <c:v>-25.455113952190914</c:v>
                </c:pt>
                <c:pt idx="397">
                  <c:v>-26.272964301794673</c:v>
                </c:pt>
                <c:pt idx="398">
                  <c:v>-22.507828970302853</c:v>
                </c:pt>
                <c:pt idx="399">
                  <c:v>-21.369843043787569</c:v>
                </c:pt>
                <c:pt idx="400">
                  <c:v>-25.887153590657817</c:v>
                </c:pt>
                <c:pt idx="401">
                  <c:v>-23.113696089241785</c:v>
                </c:pt>
                <c:pt idx="402">
                  <c:v>-24.978275234578177</c:v>
                </c:pt>
                <c:pt idx="403">
                  <c:v>-20.601678245104267</c:v>
                </c:pt>
                <c:pt idx="404">
                  <c:v>-23.124619406564307</c:v>
                </c:pt>
                <c:pt idx="405">
                  <c:v>-21.440235575646057</c:v>
                </c:pt>
                <c:pt idx="406">
                  <c:v>-26.318291302195121</c:v>
                </c:pt>
                <c:pt idx="407">
                  <c:v>-23.777796254301848</c:v>
                </c:pt>
                <c:pt idx="408">
                  <c:v>-24.037083988354425</c:v>
                </c:pt>
                <c:pt idx="409">
                  <c:v>-23.674661889305298</c:v>
                </c:pt>
                <c:pt idx="410">
                  <c:v>-24.955739426134187</c:v>
                </c:pt>
                <c:pt idx="411">
                  <c:v>-26.635398849840385</c:v>
                </c:pt>
                <c:pt idx="412">
                  <c:v>-23.804987106733734</c:v>
                </c:pt>
                <c:pt idx="413">
                  <c:v>-23.559663580868801</c:v>
                </c:pt>
                <c:pt idx="414">
                  <c:v>-20.604955184403025</c:v>
                </c:pt>
                <c:pt idx="415">
                  <c:v>-24.535003538505407</c:v>
                </c:pt>
                <c:pt idx="416">
                  <c:v>-21.788329087876264</c:v>
                </c:pt>
                <c:pt idx="417">
                  <c:v>-24.594809094701304</c:v>
                </c:pt>
                <c:pt idx="418">
                  <c:v>-24.797205116575697</c:v>
                </c:pt>
                <c:pt idx="419">
                  <c:v>-23.251884457375581</c:v>
                </c:pt>
                <c:pt idx="420">
                  <c:v>-23.650958678032111</c:v>
                </c:pt>
                <c:pt idx="421">
                  <c:v>-23.685497242561723</c:v>
                </c:pt>
                <c:pt idx="422">
                  <c:v>-25.378315689210467</c:v>
                </c:pt>
                <c:pt idx="423">
                  <c:v>-21.782167897464205</c:v>
                </c:pt>
                <c:pt idx="424">
                  <c:v>-24.376799095552087</c:v>
                </c:pt>
                <c:pt idx="425">
                  <c:v>-24.869125277769854</c:v>
                </c:pt>
                <c:pt idx="426">
                  <c:v>-24.502398349450687</c:v>
                </c:pt>
                <c:pt idx="427">
                  <c:v>-23.018778528713483</c:v>
                </c:pt>
                <c:pt idx="428">
                  <c:v>-23.879959938677075</c:v>
                </c:pt>
                <c:pt idx="429">
                  <c:v>-26.026941269236886</c:v>
                </c:pt>
                <c:pt idx="430">
                  <c:v>-23.377514826320748</c:v>
                </c:pt>
                <c:pt idx="431">
                  <c:v>-25.008466783906442</c:v>
                </c:pt>
                <c:pt idx="432">
                  <c:v>-23.164979793414659</c:v>
                </c:pt>
                <c:pt idx="433">
                  <c:v>-22.78405656439736</c:v>
                </c:pt>
                <c:pt idx="434">
                  <c:v>-24.31028613072931</c:v>
                </c:pt>
                <c:pt idx="435">
                  <c:v>-24.970051996327584</c:v>
                </c:pt>
                <c:pt idx="436">
                  <c:v>-22.379553008202947</c:v>
                </c:pt>
                <c:pt idx="437">
                  <c:v>-23.82820991873632</c:v>
                </c:pt>
                <c:pt idx="438">
                  <c:v>-24.912878438877215</c:v>
                </c:pt>
                <c:pt idx="439">
                  <c:v>-22.258853519824697</c:v>
                </c:pt>
                <c:pt idx="440">
                  <c:v>-23.721163846327272</c:v>
                </c:pt>
                <c:pt idx="441">
                  <c:v>-25.221654104432218</c:v>
                </c:pt>
                <c:pt idx="442">
                  <c:v>-24.309548809862918</c:v>
                </c:pt>
                <c:pt idx="443">
                  <c:v>-24.434170435023134</c:v>
                </c:pt>
                <c:pt idx="444">
                  <c:v>-23.572671472954426</c:v>
                </c:pt>
                <c:pt idx="445">
                  <c:v>-24.756775354519505</c:v>
                </c:pt>
                <c:pt idx="446">
                  <c:v>-20.994152926328752</c:v>
                </c:pt>
                <c:pt idx="447">
                  <c:v>-24.679478641303376</c:v>
                </c:pt>
                <c:pt idx="448">
                  <c:v>-27.030983016799382</c:v>
                </c:pt>
                <c:pt idx="449">
                  <c:v>-22.701764208157783</c:v>
                </c:pt>
                <c:pt idx="450">
                  <c:v>-23.735779957020895</c:v>
                </c:pt>
                <c:pt idx="451">
                  <c:v>-22.404426749795221</c:v>
                </c:pt>
                <c:pt idx="452">
                  <c:v>-22.66304444119578</c:v>
                </c:pt>
                <c:pt idx="453">
                  <c:v>-24.035902793487367</c:v>
                </c:pt>
                <c:pt idx="454">
                  <c:v>-21.360143381120452</c:v>
                </c:pt>
                <c:pt idx="455">
                  <c:v>-25.794402520524272</c:v>
                </c:pt>
                <c:pt idx="456">
                  <c:v>-22.755046178532211</c:v>
                </c:pt>
                <c:pt idx="457">
                  <c:v>-22.919134523065168</c:v>
                </c:pt>
                <c:pt idx="458">
                  <c:v>-23.828443733192671</c:v>
                </c:pt>
                <c:pt idx="459">
                  <c:v>-25.182846681939282</c:v>
                </c:pt>
                <c:pt idx="460">
                  <c:v>-21.719080315882366</c:v>
                </c:pt>
                <c:pt idx="461">
                  <c:v>-24.575098892034475</c:v>
                </c:pt>
                <c:pt idx="462">
                  <c:v>-23.612873541127556</c:v>
                </c:pt>
                <c:pt idx="463">
                  <c:v>-25.749286145513452</c:v>
                </c:pt>
                <c:pt idx="464">
                  <c:v>-23.353104836618968</c:v>
                </c:pt>
                <c:pt idx="465">
                  <c:v>-23.34932059993298</c:v>
                </c:pt>
                <c:pt idx="466">
                  <c:v>-23.314850526302962</c:v>
                </c:pt>
                <c:pt idx="467">
                  <c:v>-24.765451276051863</c:v>
                </c:pt>
                <c:pt idx="468">
                  <c:v>-23.260946757099191</c:v>
                </c:pt>
                <c:pt idx="469">
                  <c:v>-25.779198971019923</c:v>
                </c:pt>
                <c:pt idx="470">
                  <c:v>-24.058194317735797</c:v>
                </c:pt>
                <c:pt idx="471">
                  <c:v>-22.400960732802105</c:v>
                </c:pt>
                <c:pt idx="472">
                  <c:v>-25.865288798789152</c:v>
                </c:pt>
                <c:pt idx="473">
                  <c:v>-24.762992776016745</c:v>
                </c:pt>
                <c:pt idx="474">
                  <c:v>-24.506233690970475</c:v>
                </c:pt>
                <c:pt idx="475">
                  <c:v>-24.601272075373799</c:v>
                </c:pt>
                <c:pt idx="476">
                  <c:v>-25.292539453955214</c:v>
                </c:pt>
                <c:pt idx="477">
                  <c:v>-23.319238775427493</c:v>
                </c:pt>
                <c:pt idx="478">
                  <c:v>-23.115714609709357</c:v>
                </c:pt>
                <c:pt idx="479">
                  <c:v>-24.648856951851485</c:v>
                </c:pt>
                <c:pt idx="480">
                  <c:v>-22.266774423412244</c:v>
                </c:pt>
                <c:pt idx="481">
                  <c:v>-22.197011789171938</c:v>
                </c:pt>
                <c:pt idx="482">
                  <c:v>-23.276392341706924</c:v>
                </c:pt>
                <c:pt idx="483">
                  <c:v>-21.604188283763506</c:v>
                </c:pt>
                <c:pt idx="484">
                  <c:v>-26.600480611718467</c:v>
                </c:pt>
                <c:pt idx="485">
                  <c:v>-25.24235148873322</c:v>
                </c:pt>
                <c:pt idx="486">
                  <c:v>-25.263744144804605</c:v>
                </c:pt>
                <c:pt idx="487">
                  <c:v>-23.319877887265193</c:v>
                </c:pt>
                <c:pt idx="488">
                  <c:v>-23.421557839095385</c:v>
                </c:pt>
                <c:pt idx="489">
                  <c:v>-22.003273396710028</c:v>
                </c:pt>
                <c:pt idx="490">
                  <c:v>-24.199084252175908</c:v>
                </c:pt>
                <c:pt idx="491">
                  <c:v>-19.159241891485635</c:v>
                </c:pt>
                <c:pt idx="492">
                  <c:v>-23.621115913368612</c:v>
                </c:pt>
                <c:pt idx="493">
                  <c:v>-24.176060656479422</c:v>
                </c:pt>
                <c:pt idx="494">
                  <c:v>-26.059180878760799</c:v>
                </c:pt>
                <c:pt idx="495">
                  <c:v>-24.914504600340024</c:v>
                </c:pt>
                <c:pt idx="496">
                  <c:v>-24.886009580607606</c:v>
                </c:pt>
                <c:pt idx="497">
                  <c:v>-27.200702400174578</c:v>
                </c:pt>
                <c:pt idx="498">
                  <c:v>-25.77228827358249</c:v>
                </c:pt>
                <c:pt idx="499">
                  <c:v>-20.978697494935659</c:v>
                </c:pt>
                <c:pt idx="500">
                  <c:v>-23.793452454488488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11-1D43-8CDB-42CD4A4D8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8604175"/>
        <c:axId val="938455247"/>
      </c:lineChart>
      <c:catAx>
        <c:axId val="9886041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455247"/>
        <c:crosses val="autoZero"/>
        <c:auto val="1"/>
        <c:lblAlgn val="ctr"/>
        <c:lblOffset val="100"/>
        <c:noMultiLvlLbl val="0"/>
      </c:catAx>
      <c:valAx>
        <c:axId val="938455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604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9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575732</xdr:colOff>
      <xdr:row>8</xdr:row>
      <xdr:rowOff>152400</xdr:rowOff>
    </xdr:from>
    <xdr:to>
      <xdr:col>46</xdr:col>
      <xdr:colOff>338667</xdr:colOff>
      <xdr:row>40</xdr:row>
      <xdr:rowOff>228599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225136</xdr:colOff>
      <xdr:row>21</xdr:row>
      <xdr:rowOff>-1</xdr:rowOff>
    </xdr:from>
    <xdr:to>
      <xdr:col>27</xdr:col>
      <xdr:colOff>173182</xdr:colOff>
      <xdr:row>31</xdr:row>
      <xdr:rowOff>72735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982134</xdr:colOff>
      <xdr:row>48</xdr:row>
      <xdr:rowOff>16933</xdr:rowOff>
    </xdr:from>
    <xdr:to>
      <xdr:col>28</xdr:col>
      <xdr:colOff>457200</xdr:colOff>
      <xdr:row>61</xdr:row>
      <xdr:rowOff>25399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603249</xdr:colOff>
      <xdr:row>39</xdr:row>
      <xdr:rowOff>169332</xdr:rowOff>
    </xdr:from>
    <xdr:to>
      <xdr:col>46</xdr:col>
      <xdr:colOff>50800</xdr:colOff>
      <xdr:row>66</xdr:row>
      <xdr:rowOff>112182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603608</xdr:colOff>
      <xdr:row>98</xdr:row>
      <xdr:rowOff>140984</xdr:rowOff>
    </xdr:from>
    <xdr:to>
      <xdr:col>29</xdr:col>
      <xdr:colOff>509428</xdr:colOff>
      <xdr:row>112</xdr:row>
      <xdr:rowOff>87331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34</xdr:col>
      <xdr:colOff>71033</xdr:colOff>
      <xdr:row>70</xdr:row>
      <xdr:rowOff>0</xdr:rowOff>
    </xdr:from>
    <xdr:to>
      <xdr:col>46</xdr:col>
      <xdr:colOff>753389</xdr:colOff>
      <xdr:row>98</xdr:row>
      <xdr:rowOff>133888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294640</xdr:colOff>
      <xdr:row>0</xdr:row>
      <xdr:rowOff>142240</xdr:rowOff>
    </xdr:from>
    <xdr:to>
      <xdr:col>27</xdr:col>
      <xdr:colOff>599440</xdr:colOff>
      <xdr:row>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752928</xdr:colOff>
      <xdr:row>76</xdr:row>
      <xdr:rowOff>140304</xdr:rowOff>
    </xdr:from>
    <xdr:to>
      <xdr:col>28</xdr:col>
      <xdr:colOff>456595</xdr:colOff>
      <xdr:row>90</xdr:row>
      <xdr:rowOff>131838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33</xdr:row>
      <xdr:rowOff>18142</xdr:rowOff>
    </xdr:from>
    <xdr:to>
      <xdr:col>11</xdr:col>
      <xdr:colOff>417285</xdr:colOff>
      <xdr:row>62</xdr:row>
      <xdr:rowOff>-1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431800</xdr:colOff>
      <xdr:row>0</xdr:row>
      <xdr:rowOff>76200</xdr:rowOff>
    </xdr:from>
    <xdr:to>
      <xdr:col>27</xdr:col>
      <xdr:colOff>711200</xdr:colOff>
      <xdr:row>18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361949</xdr:colOff>
      <xdr:row>21</xdr:row>
      <xdr:rowOff>76200</xdr:rowOff>
    </xdr:from>
    <xdr:to>
      <xdr:col>27</xdr:col>
      <xdr:colOff>635000</xdr:colOff>
      <xdr:row>41</xdr:row>
      <xdr:rowOff>177800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397100</xdr:colOff>
      <xdr:row>46</xdr:row>
      <xdr:rowOff>53662</xdr:rowOff>
    </xdr:from>
    <xdr:to>
      <xdr:col>27</xdr:col>
      <xdr:colOff>321972</xdr:colOff>
      <xdr:row>68</xdr:row>
      <xdr:rowOff>155262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787400</xdr:colOff>
          <xdr:row>3</xdr:row>
          <xdr:rowOff>114300</xdr:rowOff>
        </xdr:from>
        <xdr:to>
          <xdr:col>3</xdr:col>
          <xdr:colOff>762000</xdr:colOff>
          <xdr:row>5</xdr:row>
          <xdr:rowOff>88900</xdr:rowOff>
        </xdr:to>
        <xdr:sp macro="" textlink="">
          <xdr:nvSpPr>
            <xdr:cNvPr id="8193" name="Button 1" descr="Simulate&#10;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508000</xdr:colOff>
      <xdr:row>16</xdr:row>
      <xdr:rowOff>50800</xdr:rowOff>
    </xdr:from>
    <xdr:to>
      <xdr:col>6</xdr:col>
      <xdr:colOff>643467</xdr:colOff>
      <xdr:row>36</xdr:row>
      <xdr:rowOff>110067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475288</xdr:colOff>
      <xdr:row>38</xdr:row>
      <xdr:rowOff>76970</xdr:rowOff>
    </xdr:from>
    <xdr:to>
      <xdr:col>6</xdr:col>
      <xdr:colOff>654242</xdr:colOff>
      <xdr:row>56</xdr:row>
      <xdr:rowOff>207434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436802</xdr:colOff>
      <xdr:row>60</xdr:row>
      <xdr:rowOff>0</xdr:rowOff>
    </xdr:from>
    <xdr:to>
      <xdr:col>6</xdr:col>
      <xdr:colOff>654241</xdr:colOff>
      <xdr:row>80</xdr:row>
      <xdr:rowOff>111222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%20Harper/Downloads/blacks_merton_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ropbox/bt-content-shared/FRM/FRM%202014/Practice%20Questions/T4/T4.b_2012_XLS_bundle_options_v0305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Documents%20and%20Settings/David%20Harper/My%20Documents/0_FRM/XLS/Greek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%20Harper/Documents/My%20Documents%20(2007)/_bt/_btContent/_xls/logNormalDist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Dropbox/bt-content/FRM/FRM%202017/XLS/T4/R27-P1-T4-Hull-binomial-BSM-greeks-v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ck-Scholes (3)"/>
      <sheetName val="Black-Scholes"/>
      <sheetName val="blackScholes"/>
      <sheetName val="Black-Scholes (2)"/>
    </sheetNames>
    <sheetDataSet>
      <sheetData sheetId="0"/>
      <sheetData sheetId="1">
        <row r="5">
          <cell r="C5">
            <v>0.2</v>
          </cell>
        </row>
        <row r="12">
          <cell r="C12">
            <v>2.6832815729997479E-2</v>
          </cell>
        </row>
      </sheetData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C"/>
      <sheetName val="4b.1 EuroCall_2Step (H 11.4) "/>
      <sheetName val="4b.1 EuroPut_2S (Hull 11.7) "/>
      <sheetName val="4b.1 AmerPut_2S (H 11.8) "/>
      <sheetName val="4b.1 AmerPut_2S (H 11.10) "/>
      <sheetName val="4b.1 EuroCallIndex_2s (11.11) "/>
      <sheetName val="4b.1 AmerCurrency 3Step (11.12)"/>
      <sheetName val="4b.2 Lognormal Property"/>
      <sheetName val="4b.2 Lognormal_stock"/>
      <sheetName val="4b.3 BSM_calloption"/>
      <sheetName val="4b.3 BSM_delta"/>
      <sheetName val="4b.3 BSM_gamma"/>
      <sheetName val="4b.3 BSM_vega"/>
      <sheetName val="4b.3 BSM_theta"/>
      <sheetName val="4b.3 BSM_rho"/>
      <sheetName val="4b.3 BSM_putoption"/>
      <sheetName val="4b.3 BSM_put_delta"/>
      <sheetName val="4b.3 BSM_put_gamma"/>
      <sheetName val="4b.3 BSM_put_vega"/>
      <sheetName val="4b.3 BSM_put_theta"/>
      <sheetName val="4b.3 BSM_put_rho"/>
      <sheetName val="4b.4 Dynamic Delta (Hull T17.2)"/>
      <sheetName val="4b.4 Dynamic Delta (Hull T17.3)"/>
      <sheetName val="4b.4 Gamma_neutral"/>
      <sheetName val="4b.4 Theta vs Gamma"/>
      <sheetName val="4b.4 Theta vs Gamma (2)"/>
      <sheetName val="4b.2 Black-Scholes-Merton (BSM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2">
          <cell r="D2">
            <v>50</v>
          </cell>
        </row>
        <row r="3">
          <cell r="D3">
            <v>0.05</v>
          </cell>
        </row>
        <row r="4">
          <cell r="D4">
            <v>20</v>
          </cell>
        </row>
        <row r="5">
          <cell r="D5">
            <v>0.2</v>
          </cell>
        </row>
        <row r="6">
          <cell r="D6">
            <v>52</v>
          </cell>
        </row>
        <row r="7">
          <cell r="D7">
            <v>100000</v>
          </cell>
        </row>
      </sheetData>
      <sheetData sheetId="22"/>
      <sheetData sheetId="23"/>
      <sheetData sheetId="24"/>
      <sheetData sheetId="25"/>
      <sheetData sheetId="26">
        <row r="13">
          <cell r="C13">
            <v>0.61153933629473389</v>
          </cell>
        </row>
        <row r="15">
          <cell r="C15">
            <v>0.49335126980631744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longtermOptions (3)"/>
      <sheetName val="NewlongtermOptions (2)"/>
    </sheetNames>
    <sheetDataSet>
      <sheetData sheetId="0"/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_Binomial"/>
      <sheetName val="Chart_Binomial_2nd"/>
      <sheetName val="Binomial"/>
      <sheetName val="Chart_Poisson"/>
      <sheetName val="Poisson"/>
      <sheetName val="Lognormal_cht"/>
      <sheetName val="Lognormal"/>
      <sheetName val="Chart4"/>
      <sheetName val="contPDF (2)"/>
      <sheetName val="Normal"/>
      <sheetName val="DataPrimary"/>
      <sheetName val="discretePDF"/>
      <sheetName val="contPDF"/>
      <sheetName val="contCDF (3)"/>
      <sheetName val="contCDF (2)"/>
      <sheetName val="Chart1 (4)"/>
      <sheetName val="Chart1 (3)"/>
      <sheetName val="DataSecondary"/>
      <sheetName val="Chart1 (2)"/>
      <sheetName val="Chart1"/>
      <sheetName val="Sheet1"/>
      <sheetName val="Sheet2"/>
      <sheetName val="Sheet3"/>
    </sheetNames>
    <sheetDataSet>
      <sheetData sheetId="0" refreshError="1"/>
      <sheetData sheetId="1" refreshError="1"/>
      <sheetData sheetId="2">
        <row r="3">
          <cell r="D3">
            <v>10</v>
          </cell>
        </row>
        <row r="4">
          <cell r="D4">
            <v>0.5</v>
          </cell>
        </row>
        <row r="5">
          <cell r="D5">
            <v>0.6</v>
          </cell>
        </row>
        <row r="6">
          <cell r="D6">
            <v>0.7</v>
          </cell>
        </row>
      </sheetData>
      <sheetData sheetId="3" refreshError="1"/>
      <sheetData sheetId="4"/>
      <sheetData sheetId="5" refreshError="1"/>
      <sheetData sheetId="6"/>
      <sheetData sheetId="7" refreshError="1"/>
      <sheetData sheetId="8" refreshError="1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/>
      <sheetData sheetId="21"/>
      <sheetData sheetId="2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pt p 22"/>
      <sheetName val="ppt p 22 v2"/>
      <sheetName val="TOC"/>
      <sheetName val="2Step-EURO-call (Fig 13.4)"/>
      <sheetName val="2Step-EURO-put (Fig 13.7)"/>
      <sheetName val="2Step-AMER-put (Fig 13.8)"/>
      <sheetName val="2Step-AMER-put (Fig 13.10)"/>
      <sheetName val="2Step-EURO-call (Fig 13.11)"/>
      <sheetName val="3S-AMER-call-currency (F 13.12)"/>
      <sheetName val="Conf Interval (Ex 15.1)"/>
      <sheetName val="Lognormal dist"/>
      <sheetName val="Realized return "/>
      <sheetName val="Volatility"/>
      <sheetName val="BSM (Hull 15.6)"/>
      <sheetName val="BSM (Hull 15.6) (2)"/>
      <sheetName val="BSM (Hull 15.6) (3)"/>
      <sheetName val="BSM (Hull 15.6) (4)"/>
      <sheetName val="BSM (Hull 15.9)"/>
      <sheetName val="Warrant dilution (Hull 15.7)"/>
      <sheetName val="Implied Volatility Ex.1"/>
      <sheetName val="Implied Volatility Ex.2"/>
      <sheetName val="greeks_vs_stock_price"/>
      <sheetName val="greeks_versus_time_expiration"/>
      <sheetName val="Dynamic Hedging ITM"/>
      <sheetName val="Dynamic Hedging OTM"/>
      <sheetName val="ThetaVsGamma"/>
      <sheetName val="Portfolio_insuran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28">
          <cell r="H28">
            <v>2.8091378481932515E-3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>
        <row r="5">
          <cell r="C5">
            <v>39.025799999999997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36317-998D-D048-8185-6271AB7516CF}">
  <sheetPr codeName="Sheet3"/>
  <dimension ref="A1:AG99"/>
  <sheetViews>
    <sheetView tabSelected="1" zoomScale="75" zoomScaleNormal="75" workbookViewId="0">
      <selection activeCell="J4" sqref="J4"/>
    </sheetView>
  </sheetViews>
  <sheetFormatPr baseColWidth="10" defaultRowHeight="16"/>
  <cols>
    <col min="1" max="2" width="11" bestFit="1" customWidth="1"/>
    <col min="3" max="3" width="16.33203125" customWidth="1"/>
    <col min="4" max="11" width="11" bestFit="1" customWidth="1"/>
    <col min="12" max="12" width="7" customWidth="1"/>
    <col min="13" max="15" width="11" bestFit="1" customWidth="1"/>
    <col min="17" max="17" width="15.33203125" customWidth="1"/>
    <col min="18" max="18" width="15.83203125" customWidth="1"/>
    <col min="19" max="19" width="13.1640625" bestFit="1" customWidth="1"/>
    <col min="20" max="20" width="17.33203125" customWidth="1"/>
    <col min="21" max="21" width="17.83203125" customWidth="1"/>
    <col min="22" max="22" width="13.5" bestFit="1" customWidth="1"/>
    <col min="23" max="23" width="13.1640625" customWidth="1"/>
    <col min="24" max="24" width="13.6640625" bestFit="1" customWidth="1"/>
    <col min="25" max="25" width="13" bestFit="1" customWidth="1"/>
    <col min="26" max="26" width="13.6640625" bestFit="1" customWidth="1"/>
    <col min="27" max="27" width="12.5" bestFit="1" customWidth="1"/>
    <col min="29" max="29" width="11.1640625" bestFit="1" customWidth="1"/>
    <col min="30" max="30" width="13" bestFit="1" customWidth="1"/>
    <col min="31" max="31" width="21.5" customWidth="1"/>
    <col min="32" max="32" width="13" bestFit="1" customWidth="1"/>
  </cols>
  <sheetData>
    <row r="1" spans="1:33">
      <c r="A1" s="2"/>
      <c r="C1" t="s">
        <v>100</v>
      </c>
      <c r="D1" s="5">
        <v>43951</v>
      </c>
    </row>
    <row r="2" spans="1:33">
      <c r="A2" t="s">
        <v>12</v>
      </c>
      <c r="B2">
        <v>2860</v>
      </c>
    </row>
    <row r="3" spans="1:33">
      <c r="A3" t="s">
        <v>20</v>
      </c>
      <c r="B3" s="6">
        <v>2.3099999999999999E-2</v>
      </c>
      <c r="D3" s="5"/>
    </row>
    <row r="4" spans="1:33">
      <c r="A4" t="s">
        <v>21</v>
      </c>
      <c r="B4" s="6">
        <v>6.7000000000000002E-3</v>
      </c>
      <c r="C4" t="s">
        <v>99</v>
      </c>
    </row>
    <row r="6" spans="1:33">
      <c r="A6" s="20" t="s">
        <v>98</v>
      </c>
      <c r="B6" s="20"/>
      <c r="C6" s="20"/>
      <c r="D6" s="20"/>
      <c r="E6" s="20"/>
      <c r="F6" s="20"/>
      <c r="G6" s="20"/>
    </row>
    <row r="7" spans="1:33" ht="18">
      <c r="A7" s="21" t="s">
        <v>55</v>
      </c>
      <c r="B7" s="21" t="s">
        <v>57</v>
      </c>
      <c r="C7" s="20"/>
      <c r="D7" s="20"/>
      <c r="E7" s="22" t="s">
        <v>60</v>
      </c>
      <c r="F7" s="20"/>
      <c r="G7" s="20"/>
    </row>
    <row r="9" spans="1:33" ht="18">
      <c r="A9" s="23" t="s">
        <v>55</v>
      </c>
      <c r="B9" s="23" t="s">
        <v>58</v>
      </c>
      <c r="C9" s="23"/>
      <c r="D9" s="24" t="s">
        <v>59</v>
      </c>
      <c r="E9" s="23"/>
      <c r="F9" s="23"/>
      <c r="G9" s="23"/>
    </row>
    <row r="10" spans="1:33" ht="21">
      <c r="A10" s="23"/>
      <c r="B10" s="23"/>
      <c r="C10" s="23"/>
      <c r="D10" s="23"/>
      <c r="E10" s="23"/>
      <c r="F10" s="23"/>
      <c r="G10" s="23"/>
      <c r="Q10" s="7" t="s">
        <v>29</v>
      </c>
      <c r="S10" t="s">
        <v>31</v>
      </c>
      <c r="AC10" s="46" t="s">
        <v>54</v>
      </c>
      <c r="AD10" s="46"/>
      <c r="AE10" s="46"/>
      <c r="AF10" s="46"/>
      <c r="AG10" s="46"/>
    </row>
    <row r="11" spans="1:33">
      <c r="C11" s="45" t="s">
        <v>16</v>
      </c>
      <c r="D11" s="45"/>
      <c r="G11" s="45" t="s">
        <v>22</v>
      </c>
      <c r="H11" s="45"/>
      <c r="I11" s="45"/>
      <c r="J11" s="45"/>
      <c r="K11" s="45"/>
      <c r="L11" s="45"/>
      <c r="M11" s="45"/>
      <c r="N11" s="45"/>
      <c r="O11" s="45"/>
      <c r="Q11" s="48" t="s">
        <v>23</v>
      </c>
      <c r="R11" s="48"/>
      <c r="S11" s="8"/>
      <c r="T11" s="8"/>
      <c r="U11" s="8"/>
      <c r="V11" s="8"/>
      <c r="W11" s="8"/>
      <c r="AC11" s="3"/>
      <c r="AD11" s="3"/>
      <c r="AE11" s="3"/>
      <c r="AF11" s="3"/>
      <c r="AG11" s="3"/>
    </row>
    <row r="12" spans="1:33">
      <c r="A12" s="3" t="s">
        <v>10</v>
      </c>
      <c r="B12" s="2" t="s">
        <v>14</v>
      </c>
      <c r="C12" s="2" t="s">
        <v>56</v>
      </c>
      <c r="D12" s="2" t="s">
        <v>11</v>
      </c>
      <c r="E12" t="s">
        <v>15</v>
      </c>
      <c r="F12" s="2" t="s">
        <v>17</v>
      </c>
      <c r="G12" s="2" t="s">
        <v>0</v>
      </c>
      <c r="H12" s="2" t="s">
        <v>2</v>
      </c>
      <c r="I12" s="2" t="s">
        <v>1</v>
      </c>
      <c r="J12" s="2" t="s">
        <v>3</v>
      </c>
      <c r="K12" s="2" t="s">
        <v>4</v>
      </c>
      <c r="L12" s="2" t="s">
        <v>18</v>
      </c>
      <c r="M12" s="2" t="s">
        <v>19</v>
      </c>
      <c r="N12" s="2" t="s">
        <v>5</v>
      </c>
      <c r="O12" s="2" t="s">
        <v>6</v>
      </c>
      <c r="Q12" s="8" t="s">
        <v>22</v>
      </c>
      <c r="R12" s="8" t="s">
        <v>30</v>
      </c>
      <c r="S12" s="8" t="s">
        <v>24</v>
      </c>
      <c r="T12" s="8" t="s">
        <v>26</v>
      </c>
      <c r="U12" s="8" t="s">
        <v>25</v>
      </c>
      <c r="V12" s="8" t="s">
        <v>28</v>
      </c>
      <c r="W12" s="9" t="s">
        <v>27</v>
      </c>
      <c r="AA12" t="s">
        <v>27</v>
      </c>
      <c r="AC12" s="3" t="s">
        <v>4</v>
      </c>
      <c r="AD12" s="3" t="s">
        <v>7</v>
      </c>
      <c r="AE12" s="3" t="s">
        <v>5</v>
      </c>
      <c r="AF12" s="3" t="s">
        <v>48</v>
      </c>
      <c r="AG12" s="3" t="s">
        <v>6</v>
      </c>
    </row>
    <row r="13" spans="1:33">
      <c r="A13" s="5">
        <v>43899</v>
      </c>
      <c r="B13" s="20">
        <v>2735.25</v>
      </c>
      <c r="C13" s="20">
        <v>123</v>
      </c>
      <c r="D13" s="20">
        <v>49.605314341043098</v>
      </c>
      <c r="E13">
        <f t="shared" ref="E13:E36" si="0">($D$1-A13)/365</f>
        <v>0.14246575342465753</v>
      </c>
      <c r="G13">
        <f t="shared" ref="G13:G36" si="1">(LN($B13/$B$2)+($B$4-$B$3+1/2*($D13/100)^2)*$E13)/($D13/100*SQRT($E13))</f>
        <v>-0.15706082724431986</v>
      </c>
      <c r="H13">
        <f t="shared" ref="H13:H34" si="2">G13-$D13/100*SQRT($E13)</f>
        <v>-0.34429427976804494</v>
      </c>
      <c r="I13" s="1">
        <f>_xlfn.NORM.S.DIST($G13,TRUE)</f>
        <v>0.43759845484353305</v>
      </c>
      <c r="J13" s="1">
        <f>_xlfn.NORM.S.DIST($H13,TRUE)</f>
        <v>0.36531249286031087</v>
      </c>
      <c r="K13">
        <f t="shared" ref="K13:K36" si="3">EXP(-$B$3*$E13)*I13</f>
        <v>0.4361607034002179</v>
      </c>
      <c r="L13">
        <f t="shared" ref="L13:L36" si="4">(1/SQRT(2*PI()))*EXP(-(G13^2)/2)/(B13*D13/100*SQRT(E13))*EXP(-$B$3*E13)</f>
        <v>7.6690882900628133E-4</v>
      </c>
      <c r="M13">
        <f t="shared" ref="M13:M36" si="5">-(1/SQRT(2*PI()))*EXP(-(G13^2)/2)*B13*D13/100*EXP(-$B$3*E13)/(2*SQRT(E13))+($B$3*EXP(-$B$3*E13)*B13*I13)-($B$4*$B$2*EXP(-$B$4*E13)*J13)</f>
        <v>-685.36911718110741</v>
      </c>
      <c r="N13">
        <f t="shared" ref="N13:N36" si="6">(1/SQRT(2*PI()))*EXP(-(G13^2)/2)*B13*EXP(-$B$3*E13)*SQRT(E13)</f>
        <v>405.4865714673237</v>
      </c>
      <c r="O13">
        <f>E13*EXP(-$B$4*E13)*$B$2*J13</f>
        <v>148.70531581353907</v>
      </c>
      <c r="Q13" s="8">
        <v>1</v>
      </c>
      <c r="R13" s="8">
        <f t="shared" ref="R13:R34" si="7">-K13</f>
        <v>-0.4361607034002179</v>
      </c>
      <c r="S13" s="8"/>
      <c r="T13" s="8"/>
      <c r="U13" s="8">
        <f>-C13-R13*B13</f>
        <v>1070.0085639754459</v>
      </c>
      <c r="V13" s="8">
        <f>R13*B13+C13</f>
        <v>-1070.0085639754459</v>
      </c>
      <c r="W13" s="8">
        <f>U13+V13</f>
        <v>0</v>
      </c>
      <c r="Y13">
        <f>-Z13</f>
        <v>-123</v>
      </c>
      <c r="Z13">
        <f>C13</f>
        <v>123</v>
      </c>
      <c r="AA13">
        <f>Y13+Z13</f>
        <v>0</v>
      </c>
      <c r="AC13" s="3">
        <f>Q13*K13+R13</f>
        <v>0</v>
      </c>
      <c r="AD13" s="3">
        <f>Q13*L13</f>
        <v>7.6690882900628133E-4</v>
      </c>
      <c r="AE13" s="3">
        <f>Q13*N13</f>
        <v>405.4865714673237</v>
      </c>
      <c r="AF13" s="3">
        <f>Q13*M13</f>
        <v>-685.36911718110741</v>
      </c>
      <c r="AG13" s="3">
        <f>Q13*O13</f>
        <v>148.70531581353907</v>
      </c>
    </row>
    <row r="14" spans="1:33">
      <c r="A14" s="5">
        <v>43900</v>
      </c>
      <c r="B14" s="20">
        <v>2854.25</v>
      </c>
      <c r="C14" s="20">
        <v>170.5</v>
      </c>
      <c r="D14" s="20">
        <v>48.115787723404097</v>
      </c>
      <c r="E14">
        <f t="shared" si="0"/>
        <v>0.13972602739726028</v>
      </c>
      <c r="F14">
        <f>(A14-A13)/365</f>
        <v>2.7397260273972603E-3</v>
      </c>
      <c r="G14">
        <f t="shared" si="1"/>
        <v>6.5997980409736229E-2</v>
      </c>
      <c r="H14">
        <f t="shared" si="2"/>
        <v>-0.1138585685476397</v>
      </c>
      <c r="I14" s="1">
        <f t="shared" ref="I14:I36" si="8">_xlfn.NORM.S.DIST($G14,TRUE)</f>
        <v>0.52631028332482888</v>
      </c>
      <c r="J14" s="1">
        <f t="shared" ref="J14:J36" si="9">_xlfn.NORM.S.DIST($H14,TRUE)</f>
        <v>0.45467495471220398</v>
      </c>
      <c r="K14">
        <f t="shared" si="3"/>
        <v>0.5246142653304261</v>
      </c>
      <c r="L14">
        <f t="shared" si="4"/>
        <v>7.7293719145989103E-4</v>
      </c>
      <c r="M14">
        <f t="shared" si="5"/>
        <v>-703.02404013961518</v>
      </c>
      <c r="N14">
        <f t="shared" si="6"/>
        <v>423.34373399748483</v>
      </c>
      <c r="O14">
        <f t="shared" ref="O14:O36" si="10">E14*EXP(-$B$3*E14)*$B$2*J14</f>
        <v>181.11007781801899</v>
      </c>
      <c r="Q14" s="8">
        <v>1</v>
      </c>
      <c r="R14" s="8">
        <f t="shared" si="7"/>
        <v>-0.5246142653304261</v>
      </c>
      <c r="S14" s="8">
        <f t="shared" ref="S14:S36" si="11">(EXP($B$3*F14)-1)*B13*R13</f>
        <v>-7.5505123021478854E-2</v>
      </c>
      <c r="T14" s="8">
        <f>(K14-K13)*B14</f>
        <v>252.46857913929676</v>
      </c>
      <c r="U14" s="8">
        <f t="shared" ref="U14:U36" si="12">U13*EXP(F14*$B$4)+S14+T14</f>
        <v>1322.4212794250836</v>
      </c>
      <c r="V14" s="8">
        <f t="shared" ref="V14:V34" si="13">R14*B14+C14</f>
        <v>-1326.8802668193687</v>
      </c>
      <c r="W14" s="8">
        <f t="shared" ref="W14:W34" si="14">U14+V14</f>
        <v>-4.4589873942850318</v>
      </c>
      <c r="Y14">
        <f t="shared" ref="Y14:Y36" si="15">Y13*EXP(F14*$B$4)</f>
        <v>-123.00225782894167</v>
      </c>
      <c r="Z14">
        <f t="shared" ref="Z14:Z36" si="16">C14</f>
        <v>170.5</v>
      </c>
      <c r="AA14">
        <f t="shared" ref="AA14:AA36" si="17">Y14+Z14</f>
        <v>47.497742171058334</v>
      </c>
      <c r="AC14" s="3">
        <f t="shared" ref="AC14:AC34" si="18">Q14*K14+R14</f>
        <v>0</v>
      </c>
      <c r="AD14" s="3">
        <f t="shared" ref="AD14:AD34" si="19">Q14*L14</f>
        <v>7.7293719145989103E-4</v>
      </c>
      <c r="AE14" s="3">
        <f t="shared" ref="AE14:AE34" si="20">Q14*N14</f>
        <v>423.34373399748483</v>
      </c>
      <c r="AF14" s="3">
        <f t="shared" ref="AF14:AF34" si="21">Q14*M14</f>
        <v>-703.02404013961518</v>
      </c>
      <c r="AG14" s="3">
        <f t="shared" ref="AG14:AG34" si="22">Q14*O14</f>
        <v>181.11007781801899</v>
      </c>
    </row>
    <row r="15" spans="1:33">
      <c r="A15" s="5">
        <v>43901</v>
      </c>
      <c r="B15" s="20">
        <v>2729</v>
      </c>
      <c r="C15" s="20">
        <v>117</v>
      </c>
      <c r="D15" s="20">
        <v>50.1224266486864</v>
      </c>
      <c r="E15">
        <f t="shared" si="0"/>
        <v>0.13698630136986301</v>
      </c>
      <c r="F15">
        <f t="shared" ref="F15:F34" si="23">(A15-A14)/365</f>
        <v>2.7397260273972603E-3</v>
      </c>
      <c r="G15">
        <f t="shared" si="1"/>
        <v>-0.17209567786322921</v>
      </c>
      <c r="H15">
        <f t="shared" si="2"/>
        <v>-0.35760710176848487</v>
      </c>
      <c r="I15" s="1">
        <f t="shared" si="8"/>
        <v>0.43168115531823503</v>
      </c>
      <c r="J15" s="1">
        <f t="shared" si="9"/>
        <v>0.36031868144424101</v>
      </c>
      <c r="K15">
        <f t="shared" si="3"/>
        <v>0.43031730957005987</v>
      </c>
      <c r="L15">
        <f t="shared" si="4"/>
        <v>7.7398111475909153E-4</v>
      </c>
      <c r="M15">
        <f t="shared" si="5"/>
        <v>-703.82603344130541</v>
      </c>
      <c r="N15">
        <f t="shared" si="6"/>
        <v>395.77345677156399</v>
      </c>
      <c r="O15">
        <f t="shared" si="10"/>
        <v>140.7199519847907</v>
      </c>
      <c r="Q15" s="8">
        <v>1</v>
      </c>
      <c r="R15" s="8">
        <f t="shared" si="7"/>
        <v>-0.43031730957005987</v>
      </c>
      <c r="S15" s="10">
        <f t="shared" si="11"/>
        <v>-9.476870885099381E-2</v>
      </c>
      <c r="T15" s="8">
        <f>(K15-K14)*B15</f>
        <v>-257.33639227003943</v>
      </c>
      <c r="U15" s="8">
        <f t="shared" si="12"/>
        <v>1065.0143932513784</v>
      </c>
      <c r="V15" s="8">
        <f t="shared" si="13"/>
        <v>-1057.3359378166933</v>
      </c>
      <c r="W15" s="8">
        <f t="shared" si="14"/>
        <v>7.67845543468502</v>
      </c>
      <c r="Y15">
        <f t="shared" si="15"/>
        <v>-123.00451569932879</v>
      </c>
      <c r="Z15">
        <f t="shared" si="16"/>
        <v>117</v>
      </c>
      <c r="AA15">
        <f t="shared" si="17"/>
        <v>-6.0045156993287918</v>
      </c>
      <c r="AC15" s="3">
        <f t="shared" si="18"/>
        <v>0</v>
      </c>
      <c r="AD15" s="3">
        <f t="shared" si="19"/>
        <v>7.7398111475909153E-4</v>
      </c>
      <c r="AE15" s="3">
        <f t="shared" si="20"/>
        <v>395.77345677156399</v>
      </c>
      <c r="AF15" s="3">
        <f t="shared" si="21"/>
        <v>-703.82603344130541</v>
      </c>
      <c r="AG15" s="3">
        <f t="shared" si="22"/>
        <v>140.7199519847907</v>
      </c>
    </row>
    <row r="16" spans="1:33">
      <c r="A16" s="5">
        <v>43902</v>
      </c>
      <c r="B16" s="20">
        <v>2456</v>
      </c>
      <c r="C16" s="20">
        <v>53</v>
      </c>
      <c r="D16" s="20">
        <v>60.015213702971998</v>
      </c>
      <c r="E16">
        <f t="shared" si="0"/>
        <v>0.13424657534246576</v>
      </c>
      <c r="F16">
        <f t="shared" si="23"/>
        <v>2.7397260273972603E-3</v>
      </c>
      <c r="G16">
        <f t="shared" si="1"/>
        <v>-0.59261618503094571</v>
      </c>
      <c r="H16">
        <f t="shared" si="2"/>
        <v>-0.81250997503144251</v>
      </c>
      <c r="I16" s="1">
        <f t="shared" si="8"/>
        <v>0.27671902248061575</v>
      </c>
      <c r="J16" s="1">
        <f t="shared" si="9"/>
        <v>0.20824953259367535</v>
      </c>
      <c r="K16">
        <f t="shared" si="3"/>
        <v>0.27586221945801026</v>
      </c>
      <c r="L16">
        <f t="shared" si="4"/>
        <v>6.1781884915821912E-4</v>
      </c>
      <c r="M16">
        <f t="shared" si="5"/>
        <v>-659.47232892418708</v>
      </c>
      <c r="N16">
        <f t="shared" si="6"/>
        <v>300.24960970395995</v>
      </c>
      <c r="O16">
        <f t="shared" si="10"/>
        <v>79.708841154628303</v>
      </c>
      <c r="Q16" s="8">
        <v>1</v>
      </c>
      <c r="R16" s="8">
        <f t="shared" si="7"/>
        <v>-0.27586221945801026</v>
      </c>
      <c r="S16" s="10">
        <f t="shared" si="11"/>
        <v>-7.4323338600290306E-2</v>
      </c>
      <c r="T16" s="8">
        <f t="shared" ref="T16:T34" si="24">(K16-K15)*B16</f>
        <v>-379.34170131519386</v>
      </c>
      <c r="U16" s="8">
        <f t="shared" si="12"/>
        <v>685.61791835628628</v>
      </c>
      <c r="V16" s="8">
        <f t="shared" si="13"/>
        <v>-624.51761098887323</v>
      </c>
      <c r="W16" s="8">
        <f t="shared" si="14"/>
        <v>61.100307367413052</v>
      </c>
      <c r="Y16">
        <f t="shared" si="15"/>
        <v>-123.00677361116213</v>
      </c>
      <c r="Z16">
        <f t="shared" si="16"/>
        <v>53</v>
      </c>
      <c r="AA16">
        <f t="shared" si="17"/>
        <v>-70.006773611162131</v>
      </c>
      <c r="AC16" s="3">
        <f t="shared" si="18"/>
        <v>0</v>
      </c>
      <c r="AD16" s="3">
        <f t="shared" si="19"/>
        <v>6.1781884915821912E-4</v>
      </c>
      <c r="AE16" s="3">
        <f t="shared" si="20"/>
        <v>300.24960970395995</v>
      </c>
      <c r="AF16" s="3">
        <f t="shared" si="21"/>
        <v>-659.47232892418708</v>
      </c>
      <c r="AG16" s="3">
        <f t="shared" si="22"/>
        <v>79.708841154628303</v>
      </c>
    </row>
    <row r="17" spans="1:33">
      <c r="A17" s="5">
        <v>43903</v>
      </c>
      <c r="B17" s="20">
        <v>2684</v>
      </c>
      <c r="C17" s="20">
        <v>95.5</v>
      </c>
      <c r="D17" s="20">
        <v>52.934236633719401</v>
      </c>
      <c r="E17">
        <f t="shared" si="0"/>
        <v>0.13150684931506848</v>
      </c>
      <c r="F17">
        <f t="shared" si="23"/>
        <v>2.7397260273972603E-3</v>
      </c>
      <c r="G17">
        <f t="shared" si="1"/>
        <v>-0.24612303578087061</v>
      </c>
      <c r="H17">
        <f t="shared" si="2"/>
        <v>-0.43808307984237155</v>
      </c>
      <c r="I17" s="1">
        <f t="shared" si="8"/>
        <v>0.40279349574107809</v>
      </c>
      <c r="J17" s="1">
        <f t="shared" si="9"/>
        <v>0.33066302972620942</v>
      </c>
      <c r="K17">
        <f t="shared" si="3"/>
        <v>0.40157174301387871</v>
      </c>
      <c r="L17">
        <f t="shared" si="4"/>
        <v>7.4893371120399871E-4</v>
      </c>
      <c r="M17">
        <f t="shared" si="5"/>
        <v>-737.31099445742814</v>
      </c>
      <c r="N17">
        <f t="shared" si="6"/>
        <v>375.57219296704795</v>
      </c>
      <c r="O17">
        <f t="shared" si="10"/>
        <v>123.98831083258077</v>
      </c>
      <c r="Q17" s="8">
        <v>1</v>
      </c>
      <c r="R17" s="8">
        <f>-K17</f>
        <v>-0.40157174301387871</v>
      </c>
      <c r="S17" s="10">
        <f t="shared" si="11"/>
        <v>-4.2879868688005661E-2</v>
      </c>
      <c r="T17" s="8">
        <f t="shared" si="24"/>
        <v>337.4043612239509</v>
      </c>
      <c r="U17" s="8">
        <f t="shared" si="12"/>
        <v>1022.9919851422726</v>
      </c>
      <c r="V17" s="8">
        <f>R17*B17+C17</f>
        <v>-982.31855824925037</v>
      </c>
      <c r="W17" s="8">
        <f t="shared" si="14"/>
        <v>40.673426893022224</v>
      </c>
      <c r="Y17">
        <f t="shared" si="15"/>
        <v>-123.00903156444245</v>
      </c>
      <c r="Z17">
        <f t="shared" si="16"/>
        <v>95.5</v>
      </c>
      <c r="AA17">
        <f t="shared" si="17"/>
        <v>-27.509031564442452</v>
      </c>
      <c r="AC17" s="3">
        <f t="shared" si="18"/>
        <v>0</v>
      </c>
      <c r="AD17" s="3">
        <f t="shared" si="19"/>
        <v>7.4893371120399871E-4</v>
      </c>
      <c r="AE17" s="3">
        <f t="shared" si="20"/>
        <v>375.57219296704795</v>
      </c>
      <c r="AF17" s="3">
        <f t="shared" si="21"/>
        <v>-737.31099445742814</v>
      </c>
      <c r="AG17" s="3">
        <f t="shared" si="22"/>
        <v>123.98831083258077</v>
      </c>
    </row>
    <row r="18" spans="1:33">
      <c r="A18" s="5">
        <v>43906</v>
      </c>
      <c r="B18" s="20">
        <v>2405.25</v>
      </c>
      <c r="C18" s="20">
        <v>48.75</v>
      </c>
      <c r="D18" s="20">
        <v>66.708981691977698</v>
      </c>
      <c r="E18">
        <f t="shared" si="0"/>
        <v>0.12328767123287671</v>
      </c>
      <c r="F18">
        <f t="shared" si="23"/>
        <v>8.21917808219178E-3</v>
      </c>
      <c r="G18">
        <f t="shared" si="1"/>
        <v>-0.63082053234074542</v>
      </c>
      <c r="H18">
        <f t="shared" si="2"/>
        <v>-0.86505140470618769</v>
      </c>
      <c r="I18" s="1">
        <f t="shared" si="8"/>
        <v>0.26407893832518703</v>
      </c>
      <c r="J18" s="1">
        <f t="shared" si="9"/>
        <v>0.19350528760037022</v>
      </c>
      <c r="K18">
        <f t="shared" si="3"/>
        <v>0.26332792590763132</v>
      </c>
      <c r="L18">
        <f t="shared" si="4"/>
        <v>5.7870664797547852E-4</v>
      </c>
      <c r="M18">
        <f t="shared" si="5"/>
        <v>-734.00761952451205</v>
      </c>
      <c r="N18">
        <f t="shared" si="6"/>
        <v>275.34860376022345</v>
      </c>
      <c r="O18">
        <f t="shared" si="10"/>
        <v>68.036454288696518</v>
      </c>
      <c r="Q18" s="8">
        <v>1</v>
      </c>
      <c r="R18" s="8">
        <f t="shared" si="7"/>
        <v>-0.26332792590763132</v>
      </c>
      <c r="S18" s="10">
        <f t="shared" si="11"/>
        <v>-0.20465730750140401</v>
      </c>
      <c r="T18" s="8">
        <f t="shared" si="24"/>
        <v>-332.51094109480152</v>
      </c>
      <c r="U18" s="8">
        <f t="shared" si="12"/>
        <v>690.33272291825665</v>
      </c>
      <c r="V18" s="8">
        <f t="shared" si="13"/>
        <v>-584.61949378933025</v>
      </c>
      <c r="W18" s="8">
        <f t="shared" si="14"/>
        <v>105.7132291289264</v>
      </c>
      <c r="Y18">
        <f t="shared" si="15"/>
        <v>-123.01580567297289</v>
      </c>
      <c r="Z18">
        <f t="shared" si="16"/>
        <v>48.75</v>
      </c>
      <c r="AA18">
        <f t="shared" si="17"/>
        <v>-74.265805672972888</v>
      </c>
      <c r="AC18" s="3">
        <f t="shared" si="18"/>
        <v>0</v>
      </c>
      <c r="AD18" s="3">
        <f t="shared" si="19"/>
        <v>5.7870664797547852E-4</v>
      </c>
      <c r="AE18" s="3">
        <f t="shared" si="20"/>
        <v>275.34860376022345</v>
      </c>
      <c r="AF18" s="3">
        <f t="shared" si="21"/>
        <v>-734.00761952451205</v>
      </c>
      <c r="AG18" s="3">
        <f t="shared" si="22"/>
        <v>68.036454288696518</v>
      </c>
    </row>
    <row r="19" spans="1:33">
      <c r="A19" s="5">
        <v>43907</v>
      </c>
      <c r="B19" s="20">
        <v>2485.5</v>
      </c>
      <c r="C19" s="20">
        <v>56.75</v>
      </c>
      <c r="D19" s="20">
        <v>63.020059999364904</v>
      </c>
      <c r="E19">
        <f t="shared" si="0"/>
        <v>0.12054794520547946</v>
      </c>
      <c r="F19">
        <f t="shared" si="23"/>
        <v>2.7397260273972603E-3</v>
      </c>
      <c r="G19">
        <f t="shared" si="1"/>
        <v>-0.54105886695248395</v>
      </c>
      <c r="H19">
        <f t="shared" si="2"/>
        <v>-0.75986461074916978</v>
      </c>
      <c r="I19" s="1">
        <f t="shared" si="8"/>
        <v>0.29423350426227096</v>
      </c>
      <c r="J19" s="1">
        <f t="shared" si="9"/>
        <v>0.22366775863045321</v>
      </c>
      <c r="K19">
        <f t="shared" si="3"/>
        <v>0.29341530444965064</v>
      </c>
      <c r="L19">
        <f t="shared" si="4"/>
        <v>6.319162378776367E-4</v>
      </c>
      <c r="M19">
        <f t="shared" si="5"/>
        <v>-762.63764045893424</v>
      </c>
      <c r="N19">
        <f t="shared" si="6"/>
        <v>296.56894656938215</v>
      </c>
      <c r="O19">
        <f t="shared" si="10"/>
        <v>76.898854315169373</v>
      </c>
      <c r="Q19" s="8">
        <v>1</v>
      </c>
      <c r="R19" s="8">
        <f t="shared" si="7"/>
        <v>-0.29341530444965064</v>
      </c>
      <c r="S19" s="10">
        <f t="shared" si="11"/>
        <v>-4.0085748745387409E-2</v>
      </c>
      <c r="T19" s="8">
        <f t="shared" si="24"/>
        <v>74.782179366189013</v>
      </c>
      <c r="U19" s="8">
        <f t="shared" si="12"/>
        <v>765.0874885129457</v>
      </c>
      <c r="V19" s="8">
        <f t="shared" si="13"/>
        <v>-672.53373920960667</v>
      </c>
      <c r="W19" s="8">
        <f t="shared" si="14"/>
        <v>92.553749303339032</v>
      </c>
      <c r="Y19">
        <f t="shared" si="15"/>
        <v>-123.01806379204875</v>
      </c>
      <c r="Z19">
        <f t="shared" si="16"/>
        <v>56.75</v>
      </c>
      <c r="AA19">
        <f t="shared" si="17"/>
        <v>-66.26806379204875</v>
      </c>
      <c r="AC19" s="3">
        <f t="shared" si="18"/>
        <v>0</v>
      </c>
      <c r="AD19" s="3">
        <f t="shared" si="19"/>
        <v>6.319162378776367E-4</v>
      </c>
      <c r="AE19" s="3">
        <f t="shared" si="20"/>
        <v>296.56894656938215</v>
      </c>
      <c r="AF19" s="3">
        <f t="shared" si="21"/>
        <v>-762.63764045893424</v>
      </c>
      <c r="AG19" s="3">
        <f t="shared" si="22"/>
        <v>76.898854315169373</v>
      </c>
    </row>
    <row r="20" spans="1:33">
      <c r="A20" s="5">
        <v>43908</v>
      </c>
      <c r="B20" s="20">
        <v>2401.5</v>
      </c>
      <c r="C20" s="20">
        <v>35.5</v>
      </c>
      <c r="D20" s="20">
        <v>62.850381837869897</v>
      </c>
      <c r="E20">
        <f t="shared" si="0"/>
        <v>0.11780821917808219</v>
      </c>
      <c r="F20">
        <f t="shared" si="23"/>
        <v>2.7397260273972603E-3</v>
      </c>
      <c r="G20">
        <f t="shared" si="1"/>
        <v>-0.71106126646424717</v>
      </c>
      <c r="H20">
        <f t="shared" si="2"/>
        <v>-0.92678390128056209</v>
      </c>
      <c r="I20" s="1">
        <f t="shared" si="8"/>
        <v>0.23852313551033408</v>
      </c>
      <c r="J20" s="1">
        <f t="shared" si="9"/>
        <v>0.17701937256361094</v>
      </c>
      <c r="K20">
        <f t="shared" si="3"/>
        <v>0.23787490827081803</v>
      </c>
      <c r="L20">
        <f t="shared" si="4"/>
        <v>5.9642861780696734E-4</v>
      </c>
      <c r="M20">
        <f t="shared" si="5"/>
        <v>-669.56824691430165</v>
      </c>
      <c r="N20">
        <f t="shared" si="6"/>
        <v>254.6872283312735</v>
      </c>
      <c r="O20">
        <f t="shared" si="10"/>
        <v>59.481312832331696</v>
      </c>
      <c r="Q20" s="8">
        <v>1</v>
      </c>
      <c r="R20" s="8">
        <f t="shared" si="7"/>
        <v>-0.23787490827081803</v>
      </c>
      <c r="S20" s="10">
        <f t="shared" si="11"/>
        <v>-4.6156130064225399E-2</v>
      </c>
      <c r="T20" s="8">
        <f t="shared" si="24"/>
        <v>-133.38026142346649</v>
      </c>
      <c r="U20" s="8">
        <f t="shared" si="12"/>
        <v>631.67511516002037</v>
      </c>
      <c r="V20" s="8">
        <f t="shared" si="13"/>
        <v>-535.75659221236947</v>
      </c>
      <c r="W20" s="8">
        <f t="shared" si="14"/>
        <v>95.918522947650899</v>
      </c>
      <c r="Y20">
        <f t="shared" si="15"/>
        <v>-123.0203219525754</v>
      </c>
      <c r="Z20">
        <f t="shared" si="16"/>
        <v>35.5</v>
      </c>
      <c r="AA20">
        <f t="shared" si="17"/>
        <v>-87.520321952575401</v>
      </c>
      <c r="AC20" s="3">
        <f t="shared" si="18"/>
        <v>0</v>
      </c>
      <c r="AD20" s="3">
        <f t="shared" si="19"/>
        <v>5.9642861780696734E-4</v>
      </c>
      <c r="AE20" s="3">
        <f t="shared" si="20"/>
        <v>254.6872283312735</v>
      </c>
      <c r="AF20" s="3">
        <f t="shared" si="21"/>
        <v>-669.56824691430165</v>
      </c>
      <c r="AG20" s="3">
        <f t="shared" si="22"/>
        <v>59.481312832331696</v>
      </c>
    </row>
    <row r="21" spans="1:33">
      <c r="A21" s="5">
        <v>43909</v>
      </c>
      <c r="B21" s="20">
        <v>2389</v>
      </c>
      <c r="C21" s="20">
        <v>22.25</v>
      </c>
      <c r="D21" s="20">
        <v>55.663381077253199</v>
      </c>
      <c r="E21">
        <f t="shared" si="0"/>
        <v>0.11506849315068493</v>
      </c>
      <c r="F21">
        <f t="shared" si="23"/>
        <v>2.7397260273972603E-3</v>
      </c>
      <c r="G21">
        <f t="shared" si="1"/>
        <v>-0.86859164561255842</v>
      </c>
      <c r="H21">
        <f t="shared" si="2"/>
        <v>-1.0574115596017721</v>
      </c>
      <c r="I21" s="1">
        <f t="shared" si="8"/>
        <v>0.19253526282268163</v>
      </c>
      <c r="J21" s="1">
        <f t="shared" si="9"/>
        <v>0.14516189907787236</v>
      </c>
      <c r="K21">
        <f t="shared" si="3"/>
        <v>0.19202416783644763</v>
      </c>
      <c r="L21">
        <f t="shared" si="4"/>
        <v>6.0487366982676807E-4</v>
      </c>
      <c r="M21">
        <f t="shared" si="5"/>
        <v>-527.00058628498937</v>
      </c>
      <c r="N21">
        <f t="shared" si="6"/>
        <v>221.11743508623221</v>
      </c>
      <c r="O21">
        <f t="shared" si="10"/>
        <v>47.645370653467651</v>
      </c>
      <c r="Q21" s="8">
        <v>1</v>
      </c>
      <c r="R21" s="8">
        <f t="shared" si="7"/>
        <v>-0.19202416783644763</v>
      </c>
      <c r="S21" s="10">
        <f t="shared" si="11"/>
        <v>-3.6154643457122305E-2</v>
      </c>
      <c r="T21" s="8">
        <f t="shared" si="24"/>
        <v>-109.53741889771089</v>
      </c>
      <c r="U21" s="8">
        <f t="shared" si="12"/>
        <v>522.11313685752498</v>
      </c>
      <c r="V21" s="8">
        <f>R21*B21+C21</f>
        <v>-436.49573696127339</v>
      </c>
      <c r="W21" s="8">
        <f t="shared" si="14"/>
        <v>85.617399896251584</v>
      </c>
      <c r="Y21">
        <f t="shared" si="15"/>
        <v>-123.02258015455359</v>
      </c>
      <c r="Z21">
        <f t="shared" si="16"/>
        <v>22.25</v>
      </c>
      <c r="AA21">
        <f t="shared" si="17"/>
        <v>-100.77258015455359</v>
      </c>
      <c r="AC21" s="3">
        <f t="shared" si="18"/>
        <v>0</v>
      </c>
      <c r="AD21" s="3">
        <f t="shared" si="19"/>
        <v>6.0487366982676807E-4</v>
      </c>
      <c r="AE21" s="3">
        <f t="shared" si="20"/>
        <v>221.11743508623221</v>
      </c>
      <c r="AF21" s="3">
        <f t="shared" si="21"/>
        <v>-527.00058628498937</v>
      </c>
      <c r="AG21" s="3">
        <f t="shared" si="22"/>
        <v>47.645370653467651</v>
      </c>
    </row>
    <row r="22" spans="1:33">
      <c r="A22" s="5">
        <v>43910</v>
      </c>
      <c r="B22" s="20">
        <v>2288.5</v>
      </c>
      <c r="C22" s="20">
        <v>7</v>
      </c>
      <c r="D22" s="20">
        <v>44.388919560753301</v>
      </c>
      <c r="E22">
        <f t="shared" si="0"/>
        <v>0.11232876712328767</v>
      </c>
      <c r="F22">
        <f t="shared" si="23"/>
        <v>2.7397260273972603E-3</v>
      </c>
      <c r="G22">
        <f t="shared" si="1"/>
        <v>-1.4364349183882439</v>
      </c>
      <c r="H22">
        <f t="shared" si="2"/>
        <v>-1.5852065309501748</v>
      </c>
      <c r="I22" s="1">
        <f t="shared" si="8"/>
        <v>7.543931150956254E-2</v>
      </c>
      <c r="J22" s="1">
        <f t="shared" si="9"/>
        <v>5.6459708571661847E-2</v>
      </c>
      <c r="K22">
        <f t="shared" si="3"/>
        <v>7.5243815742784562E-2</v>
      </c>
      <c r="L22">
        <f t="shared" si="4"/>
        <v>4.1654549333600301E-4</v>
      </c>
      <c r="M22">
        <f t="shared" si="5"/>
        <v>-212.02661516102981</v>
      </c>
      <c r="N22">
        <f t="shared" si="6"/>
        <v>108.77518741297303</v>
      </c>
      <c r="O22">
        <f t="shared" si="10"/>
        <v>18.091257392039306</v>
      </c>
      <c r="Q22" s="8">
        <v>1</v>
      </c>
      <c r="R22" s="8">
        <f t="shared" si="7"/>
        <v>-7.5243815742784562E-2</v>
      </c>
      <c r="S22" s="10">
        <f t="shared" si="11"/>
        <v>-2.9033868113584493E-2</v>
      </c>
      <c r="T22" s="8">
        <f t="shared" si="24"/>
        <v>-267.25183576634794</v>
      </c>
      <c r="U22" s="8">
        <f t="shared" si="12"/>
        <v>254.84185130559371</v>
      </c>
      <c r="V22" s="8">
        <f t="shared" si="13"/>
        <v>-165.19547232736247</v>
      </c>
      <c r="W22" s="8">
        <f t="shared" si="14"/>
        <v>89.64637897823124</v>
      </c>
      <c r="Y22">
        <f t="shared" si="15"/>
        <v>-123.0248383979841</v>
      </c>
      <c r="Z22">
        <f t="shared" si="16"/>
        <v>7</v>
      </c>
      <c r="AA22">
        <f t="shared" si="17"/>
        <v>-116.0248383979841</v>
      </c>
      <c r="AC22" s="3">
        <f t="shared" si="18"/>
        <v>0</v>
      </c>
      <c r="AD22" s="3">
        <f t="shared" si="19"/>
        <v>4.1654549333600301E-4</v>
      </c>
      <c r="AE22" s="3">
        <f t="shared" si="20"/>
        <v>108.77518741297303</v>
      </c>
      <c r="AF22" s="3">
        <f t="shared" si="21"/>
        <v>-212.02661516102981</v>
      </c>
      <c r="AG22" s="3">
        <f t="shared" si="22"/>
        <v>18.091257392039306</v>
      </c>
    </row>
    <row r="23" spans="1:33">
      <c r="A23" s="5">
        <v>43913</v>
      </c>
      <c r="B23" s="20">
        <v>2220.5</v>
      </c>
      <c r="C23" s="20">
        <v>5</v>
      </c>
      <c r="D23" s="20">
        <v>43.191410164823203</v>
      </c>
      <c r="E23">
        <f t="shared" si="0"/>
        <v>0.10410958904109589</v>
      </c>
      <c r="F23">
        <f t="shared" si="23"/>
        <v>8.21917808219178E-3</v>
      </c>
      <c r="G23">
        <f t="shared" si="1"/>
        <v>-1.7586338445610492</v>
      </c>
      <c r="H23">
        <f t="shared" si="2"/>
        <v>-1.8979953245252232</v>
      </c>
      <c r="I23" s="1">
        <f t="shared" si="8"/>
        <v>3.931986028811723E-2</v>
      </c>
      <c r="J23" s="1">
        <f t="shared" si="9"/>
        <v>2.8848348967879481E-2</v>
      </c>
      <c r="K23">
        <f t="shared" si="3"/>
        <v>3.9225412333218183E-2</v>
      </c>
      <c r="L23">
        <f t="shared" si="4"/>
        <v>2.7395587824458257E-4</v>
      </c>
      <c r="M23">
        <f t="shared" si="5"/>
        <v>-124.53355063032429</v>
      </c>
      <c r="N23">
        <f t="shared" si="6"/>
        <v>60.739371578536669</v>
      </c>
      <c r="O23">
        <f t="shared" si="10"/>
        <v>8.569061893669927</v>
      </c>
      <c r="Q23" s="8">
        <v>1</v>
      </c>
      <c r="R23" s="8">
        <f t="shared" si="7"/>
        <v>-3.9225412333218183E-2</v>
      </c>
      <c r="S23" s="10">
        <f t="shared" si="11"/>
        <v>-3.2696655165869642E-2</v>
      </c>
      <c r="T23" s="8">
        <f t="shared" si="24"/>
        <v>-79.978864770942138</v>
      </c>
      <c r="U23" s="8">
        <f t="shared" si="12"/>
        <v>174.84432402264486</v>
      </c>
      <c r="V23" s="8">
        <f t="shared" si="13"/>
        <v>-82.100028085910978</v>
      </c>
      <c r="W23" s="8">
        <f t="shared" si="14"/>
        <v>92.744295936733877</v>
      </c>
      <c r="Y23">
        <f t="shared" si="15"/>
        <v>-123.031613376997</v>
      </c>
      <c r="Z23">
        <f t="shared" si="16"/>
        <v>5</v>
      </c>
      <c r="AA23">
        <f t="shared" si="17"/>
        <v>-118.031613376997</v>
      </c>
      <c r="AC23" s="3">
        <f t="shared" si="18"/>
        <v>0</v>
      </c>
      <c r="AD23" s="3">
        <f t="shared" si="19"/>
        <v>2.7395587824458257E-4</v>
      </c>
      <c r="AE23" s="3">
        <f t="shared" si="20"/>
        <v>60.739371578536669</v>
      </c>
      <c r="AF23" s="3">
        <f t="shared" si="21"/>
        <v>-124.53355063032429</v>
      </c>
      <c r="AG23" s="3">
        <f t="shared" si="22"/>
        <v>8.569061893669927</v>
      </c>
    </row>
    <row r="24" spans="1:33">
      <c r="A24" s="5">
        <v>43914</v>
      </c>
      <c r="B24" s="20">
        <v>2438</v>
      </c>
      <c r="C24" s="20">
        <v>25</v>
      </c>
      <c r="D24" s="20">
        <v>48.525351865927</v>
      </c>
      <c r="E24">
        <f t="shared" si="0"/>
        <v>0.10136986301369863</v>
      </c>
      <c r="F24">
        <f t="shared" si="23"/>
        <v>2.7397260273972603E-3</v>
      </c>
      <c r="G24">
        <f t="shared" si="1"/>
        <v>-0.9668160061453136</v>
      </c>
      <c r="H24">
        <f t="shared" si="2"/>
        <v>-1.1213140990779467</v>
      </c>
      <c r="I24" s="1">
        <f t="shared" si="8"/>
        <v>0.1668180107088649</v>
      </c>
      <c r="J24" s="1">
        <f t="shared" si="9"/>
        <v>0.1310770930991588</v>
      </c>
      <c r="K24">
        <f t="shared" si="3"/>
        <v>0.16642783934189226</v>
      </c>
      <c r="L24">
        <f t="shared" si="4"/>
        <v>6.6215787025508503E-4</v>
      </c>
      <c r="M24">
        <f t="shared" si="5"/>
        <v>-456.51613424088634</v>
      </c>
      <c r="N24">
        <f t="shared" si="6"/>
        <v>193.60051165061452</v>
      </c>
      <c r="O24">
        <f t="shared" si="10"/>
        <v>37.912701470898767</v>
      </c>
      <c r="Q24" s="8">
        <v>1</v>
      </c>
      <c r="R24" s="8">
        <f t="shared" si="7"/>
        <v>-0.16642783934189226</v>
      </c>
      <c r="S24" s="10">
        <f t="shared" si="11"/>
        <v>-5.5125323777108493E-3</v>
      </c>
      <c r="T24" s="8">
        <f t="shared" si="24"/>
        <v>310.11951704714738</v>
      </c>
      <c r="U24" s="8">
        <f t="shared" si="12"/>
        <v>484.9615380380248</v>
      </c>
      <c r="V24" s="8">
        <f t="shared" si="13"/>
        <v>-380.75107231553335</v>
      </c>
      <c r="W24" s="8">
        <f t="shared" si="14"/>
        <v>104.21046572249145</v>
      </c>
      <c r="Y24">
        <f t="shared" si="15"/>
        <v>-123.03387178624433</v>
      </c>
      <c r="Z24">
        <f t="shared" si="16"/>
        <v>25</v>
      </c>
      <c r="AA24">
        <f t="shared" si="17"/>
        <v>-98.033871786244333</v>
      </c>
      <c r="AC24" s="3">
        <f t="shared" si="18"/>
        <v>0</v>
      </c>
      <c r="AD24" s="3">
        <f t="shared" si="19"/>
        <v>6.6215787025508503E-4</v>
      </c>
      <c r="AE24" s="3">
        <f t="shared" si="20"/>
        <v>193.60051165061452</v>
      </c>
      <c r="AF24" s="3">
        <f t="shared" si="21"/>
        <v>-456.51613424088634</v>
      </c>
      <c r="AG24" s="3">
        <f t="shared" si="22"/>
        <v>37.912701470898767</v>
      </c>
    </row>
    <row r="25" spans="1:33">
      <c r="A25" s="5">
        <v>43915</v>
      </c>
      <c r="B25" s="20">
        <v>2467</v>
      </c>
      <c r="C25" s="20">
        <v>28.25</v>
      </c>
      <c r="D25" s="20">
        <v>52.093489510101797</v>
      </c>
      <c r="E25">
        <f t="shared" si="0"/>
        <v>9.8630136986301367E-2</v>
      </c>
      <c r="F25">
        <f t="shared" si="23"/>
        <v>2.7397260273972603E-3</v>
      </c>
      <c r="G25">
        <f t="shared" si="1"/>
        <v>-0.83161356212421567</v>
      </c>
      <c r="H25">
        <f t="shared" si="2"/>
        <v>-0.99521543384895339</v>
      </c>
      <c r="I25" s="1">
        <f t="shared" si="8"/>
        <v>0.20281355222819031</v>
      </c>
      <c r="J25" s="1">
        <f t="shared" si="9"/>
        <v>0.15981574846473395</v>
      </c>
      <c r="K25">
        <f t="shared" si="3"/>
        <v>0.20235199671483284</v>
      </c>
      <c r="L25">
        <f t="shared" si="4"/>
        <v>6.9789203121879153E-4</v>
      </c>
      <c r="M25">
        <f t="shared" si="5"/>
        <v>-567.84846144304913</v>
      </c>
      <c r="N25">
        <f t="shared" si="6"/>
        <v>218.23259886236633</v>
      </c>
      <c r="O25">
        <f t="shared" si="10"/>
        <v>44.978582548685566</v>
      </c>
      <c r="Q25" s="8">
        <v>1</v>
      </c>
      <c r="R25" s="8">
        <f t="shared" si="7"/>
        <v>-0.20235199671483284</v>
      </c>
      <c r="S25" s="10">
        <f t="shared" si="11"/>
        <v>-2.5679853067602832E-2</v>
      </c>
      <c r="T25" s="8">
        <f t="shared" si="24"/>
        <v>88.624896239044404</v>
      </c>
      <c r="U25" s="8">
        <f t="shared" si="12"/>
        <v>573.56965653941756</v>
      </c>
      <c r="V25" s="8">
        <f t="shared" si="13"/>
        <v>-470.95237589549259</v>
      </c>
      <c r="W25" s="8">
        <f t="shared" si="14"/>
        <v>102.61728064392497</v>
      </c>
      <c r="Y25">
        <f t="shared" si="15"/>
        <v>-123.03613023694778</v>
      </c>
      <c r="Z25">
        <f t="shared" si="16"/>
        <v>28.25</v>
      </c>
      <c r="AA25">
        <f t="shared" si="17"/>
        <v>-94.786130236947784</v>
      </c>
      <c r="AC25" s="3">
        <f t="shared" si="18"/>
        <v>0</v>
      </c>
      <c r="AD25" s="3">
        <f t="shared" si="19"/>
        <v>6.9789203121879153E-4</v>
      </c>
      <c r="AE25" s="3">
        <f t="shared" si="20"/>
        <v>218.23259886236633</v>
      </c>
      <c r="AF25" s="3">
        <f t="shared" si="21"/>
        <v>-567.84846144304913</v>
      </c>
      <c r="AG25" s="3">
        <f t="shared" si="22"/>
        <v>44.978582548685566</v>
      </c>
    </row>
    <row r="26" spans="1:33">
      <c r="A26" s="5">
        <v>43916</v>
      </c>
      <c r="B26" s="20">
        <v>2608</v>
      </c>
      <c r="C26" s="20">
        <v>50</v>
      </c>
      <c r="D26" s="20">
        <v>52.393737264855503</v>
      </c>
      <c r="E26">
        <f t="shared" si="0"/>
        <v>9.5890410958904104E-2</v>
      </c>
      <c r="F26">
        <f t="shared" si="23"/>
        <v>2.7397260273972603E-3</v>
      </c>
      <c r="G26">
        <f t="shared" si="1"/>
        <v>-0.49708734269498794</v>
      </c>
      <c r="H26">
        <f t="shared" si="2"/>
        <v>-0.65933071616733119</v>
      </c>
      <c r="I26" s="1">
        <f t="shared" si="8"/>
        <v>0.3095637299758851</v>
      </c>
      <c r="J26" s="1">
        <f t="shared" si="9"/>
        <v>0.25484171104887704</v>
      </c>
      <c r="K26">
        <f t="shared" si="3"/>
        <v>0.30887878399218621</v>
      </c>
      <c r="L26">
        <f t="shared" si="4"/>
        <v>8.3141401666108662E-4</v>
      </c>
      <c r="M26">
        <f t="shared" si="5"/>
        <v>-762.4497058426241</v>
      </c>
      <c r="N26">
        <f t="shared" si="6"/>
        <v>284.11036225584746</v>
      </c>
      <c r="O26">
        <f t="shared" si="10"/>
        <v>69.73482788510097</v>
      </c>
      <c r="Q26" s="8">
        <v>1</v>
      </c>
      <c r="R26" s="8">
        <f t="shared" si="7"/>
        <v>-0.30887878399218621</v>
      </c>
      <c r="S26" s="10">
        <f t="shared" si="11"/>
        <v>-3.159435560043429E-2</v>
      </c>
      <c r="T26" s="8">
        <f t="shared" si="24"/>
        <v>277.82186121933762</v>
      </c>
      <c r="U26" s="8">
        <f t="shared" si="12"/>
        <v>851.37045203868809</v>
      </c>
      <c r="V26" s="8">
        <f t="shared" si="13"/>
        <v>-755.55586865162161</v>
      </c>
      <c r="W26" s="8">
        <f t="shared" si="14"/>
        <v>95.814583387066477</v>
      </c>
      <c r="Y26">
        <f t="shared" si="15"/>
        <v>-123.03838872910811</v>
      </c>
      <c r="Z26">
        <f t="shared" si="16"/>
        <v>50</v>
      </c>
      <c r="AA26">
        <f t="shared" si="17"/>
        <v>-73.038388729108107</v>
      </c>
      <c r="AC26" s="3">
        <f t="shared" si="18"/>
        <v>0</v>
      </c>
      <c r="AD26" s="3">
        <f t="shared" si="19"/>
        <v>8.3141401666108662E-4</v>
      </c>
      <c r="AE26" s="3">
        <f t="shared" si="20"/>
        <v>284.11036225584746</v>
      </c>
      <c r="AF26" s="3">
        <f t="shared" si="21"/>
        <v>-762.4497058426241</v>
      </c>
      <c r="AG26" s="3">
        <f t="shared" si="22"/>
        <v>69.73482788510097</v>
      </c>
    </row>
    <row r="27" spans="1:33">
      <c r="A27" s="5">
        <v>43917</v>
      </c>
      <c r="B27" s="20">
        <v>2524</v>
      </c>
      <c r="C27" s="20">
        <v>30.5</v>
      </c>
      <c r="D27" s="20">
        <v>53.714508407207298</v>
      </c>
      <c r="E27">
        <f t="shared" si="0"/>
        <v>9.3150684931506855E-2</v>
      </c>
      <c r="F27">
        <f t="shared" si="23"/>
        <v>2.7397260273972603E-3</v>
      </c>
      <c r="G27">
        <f t="shared" si="1"/>
        <v>-0.68968089506770691</v>
      </c>
      <c r="H27">
        <f t="shared" si="2"/>
        <v>-0.85362078219355442</v>
      </c>
      <c r="I27" s="1">
        <f t="shared" si="8"/>
        <v>0.24519744141223071</v>
      </c>
      <c r="J27" s="1">
        <f t="shared" si="9"/>
        <v>0.19665756987316899</v>
      </c>
      <c r="K27">
        <f t="shared" si="3"/>
        <v>0.24467039750506059</v>
      </c>
      <c r="L27">
        <f t="shared" si="4"/>
        <v>7.5842628742735219E-4</v>
      </c>
      <c r="M27">
        <f t="shared" si="5"/>
        <v>-686.52072728474639</v>
      </c>
      <c r="N27">
        <f t="shared" si="6"/>
        <v>241.7518112720625</v>
      </c>
      <c r="O27">
        <f t="shared" si="10"/>
        <v>52.279117446140852</v>
      </c>
      <c r="Q27" s="8">
        <v>1</v>
      </c>
      <c r="R27" s="8">
        <f t="shared" si="7"/>
        <v>-0.24467039750506059</v>
      </c>
      <c r="S27" s="10">
        <f t="shared" si="11"/>
        <v>-5.0983368267310106E-2</v>
      </c>
      <c r="T27" s="8">
        <f t="shared" si="24"/>
        <v>-162.06196749350508</v>
      </c>
      <c r="U27" s="8">
        <f t="shared" si="12"/>
        <v>689.2731292163196</v>
      </c>
      <c r="V27" s="8">
        <f t="shared" si="13"/>
        <v>-587.04808330277297</v>
      </c>
      <c r="W27" s="8">
        <f t="shared" si="14"/>
        <v>102.22504591354664</v>
      </c>
      <c r="Y27">
        <f t="shared" si="15"/>
        <v>-123.04064726272607</v>
      </c>
      <c r="Z27">
        <f t="shared" si="16"/>
        <v>30.5</v>
      </c>
      <c r="AA27">
        <f t="shared" si="17"/>
        <v>-92.540647262726068</v>
      </c>
      <c r="AC27" s="3">
        <f t="shared" si="18"/>
        <v>0</v>
      </c>
      <c r="AD27" s="3">
        <f t="shared" si="19"/>
        <v>7.5842628742735219E-4</v>
      </c>
      <c r="AE27" s="3">
        <f t="shared" si="20"/>
        <v>241.7518112720625</v>
      </c>
      <c r="AF27" s="3">
        <f t="shared" si="21"/>
        <v>-686.52072728474639</v>
      </c>
      <c r="AG27" s="3">
        <f t="shared" si="22"/>
        <v>52.279117446140852</v>
      </c>
    </row>
    <row r="28" spans="1:33">
      <c r="A28" s="5">
        <v>43920</v>
      </c>
      <c r="B28" s="20">
        <v>2611.25</v>
      </c>
      <c r="C28" s="20">
        <v>35</v>
      </c>
      <c r="D28" s="20">
        <v>49.697228377060803</v>
      </c>
      <c r="E28">
        <f t="shared" si="0"/>
        <v>8.4931506849315067E-2</v>
      </c>
      <c r="F28">
        <f t="shared" si="23"/>
        <v>8.21917808219178E-3</v>
      </c>
      <c r="G28">
        <f t="shared" si="1"/>
        <v>-0.56546085569263405</v>
      </c>
      <c r="H28">
        <f t="shared" si="2"/>
        <v>-0.710293541172626</v>
      </c>
      <c r="I28" s="1">
        <f t="shared" si="8"/>
        <v>0.28588017103346985</v>
      </c>
      <c r="J28" s="1">
        <f t="shared" si="9"/>
        <v>0.23876106211549855</v>
      </c>
      <c r="K28">
        <f t="shared" si="3"/>
        <v>0.28531984746902173</v>
      </c>
      <c r="L28">
        <f t="shared" si="4"/>
        <v>8.9724494889414517E-4</v>
      </c>
      <c r="M28">
        <f t="shared" si="5"/>
        <v>-742.87565038319929</v>
      </c>
      <c r="N28">
        <f t="shared" si="6"/>
        <v>258.23132652704123</v>
      </c>
      <c r="O28">
        <f t="shared" si="10"/>
        <v>57.88237127169247</v>
      </c>
      <c r="Q28" s="8">
        <v>1</v>
      </c>
      <c r="R28" s="8">
        <f t="shared" si="7"/>
        <v>-0.28531984746902173</v>
      </c>
      <c r="S28" s="10">
        <f t="shared" si="11"/>
        <v>-0.1172606715797252</v>
      </c>
      <c r="T28" s="8">
        <f t="shared" si="24"/>
        <v>106.14587621839352</v>
      </c>
      <c r="U28" s="8">
        <f t="shared" si="12"/>
        <v>795.33970304087154</v>
      </c>
      <c r="V28" s="8">
        <f t="shared" si="13"/>
        <v>-710.04145170348295</v>
      </c>
      <c r="W28" s="8">
        <f t="shared" si="14"/>
        <v>85.298251337388592</v>
      </c>
      <c r="Y28">
        <f t="shared" si="15"/>
        <v>-123.04742311233331</v>
      </c>
      <c r="Z28">
        <f t="shared" si="16"/>
        <v>35</v>
      </c>
      <c r="AA28">
        <f t="shared" si="17"/>
        <v>-88.047423112333306</v>
      </c>
      <c r="AC28" s="3">
        <f t="shared" si="18"/>
        <v>0</v>
      </c>
      <c r="AD28" s="3">
        <f t="shared" si="19"/>
        <v>8.9724494889414517E-4</v>
      </c>
      <c r="AE28" s="3">
        <f t="shared" si="20"/>
        <v>258.23132652704123</v>
      </c>
      <c r="AF28" s="3">
        <f t="shared" si="21"/>
        <v>-742.87565038319929</v>
      </c>
      <c r="AG28" s="3">
        <f t="shared" si="22"/>
        <v>57.88237127169247</v>
      </c>
    </row>
    <row r="29" spans="1:33">
      <c r="A29" s="5">
        <v>43921</v>
      </c>
      <c r="B29" s="20">
        <v>2569.75</v>
      </c>
      <c r="C29" s="20">
        <v>14.75</v>
      </c>
      <c r="D29" s="20">
        <v>44.392373854031099</v>
      </c>
      <c r="E29">
        <f t="shared" si="0"/>
        <v>8.2191780821917804E-2</v>
      </c>
      <c r="F29">
        <f t="shared" si="23"/>
        <v>2.7397260273972603E-3</v>
      </c>
      <c r="G29">
        <f t="shared" si="1"/>
        <v>-0.78779805762229682</v>
      </c>
      <c r="H29">
        <f t="shared" si="2"/>
        <v>-0.9150670378973097</v>
      </c>
      <c r="I29" s="1">
        <f t="shared" si="8"/>
        <v>0.21540741870340616</v>
      </c>
      <c r="J29" s="1">
        <f t="shared" si="9"/>
        <v>0.18007821897930015</v>
      </c>
      <c r="K29">
        <f t="shared" si="3"/>
        <v>0.21499882769087111</v>
      </c>
      <c r="L29">
        <f t="shared" si="4"/>
        <v>8.9269866724846323E-4</v>
      </c>
      <c r="M29">
        <f t="shared" si="5"/>
        <v>-571.54871756031082</v>
      </c>
      <c r="N29">
        <f t="shared" si="6"/>
        <v>215.09157287420354</v>
      </c>
      <c r="O29">
        <f t="shared" si="10"/>
        <v>42.250421460935762</v>
      </c>
      <c r="Q29" s="8">
        <v>1</v>
      </c>
      <c r="R29" s="8">
        <f t="shared" si="7"/>
        <v>-0.21499882769087111</v>
      </c>
      <c r="S29" s="10">
        <f t="shared" si="11"/>
        <v>-4.7153430550001048E-2</v>
      </c>
      <c r="T29" s="8">
        <f t="shared" si="24"/>
        <v>-180.70744057490253</v>
      </c>
      <c r="U29" s="8">
        <f t="shared" si="12"/>
        <v>614.59970855574409</v>
      </c>
      <c r="V29" s="8">
        <f t="shared" si="13"/>
        <v>-537.74323745861602</v>
      </c>
      <c r="W29" s="8">
        <f t="shared" si="14"/>
        <v>76.856471097128065</v>
      </c>
      <c r="Y29">
        <f t="shared" si="15"/>
        <v>-123.04968181178941</v>
      </c>
      <c r="Z29">
        <f t="shared" si="16"/>
        <v>14.75</v>
      </c>
      <c r="AA29">
        <f t="shared" si="17"/>
        <v>-108.29968181178941</v>
      </c>
      <c r="AC29" s="3">
        <f t="shared" si="18"/>
        <v>0</v>
      </c>
      <c r="AD29" s="3">
        <f t="shared" si="19"/>
        <v>8.9269866724846323E-4</v>
      </c>
      <c r="AE29" s="3">
        <f t="shared" si="20"/>
        <v>215.09157287420354</v>
      </c>
      <c r="AF29" s="3">
        <f t="shared" si="21"/>
        <v>-571.54871756031082</v>
      </c>
      <c r="AG29" s="3">
        <f t="shared" si="22"/>
        <v>42.250421460935762</v>
      </c>
    </row>
    <row r="30" spans="1:33">
      <c r="A30" s="5">
        <v>43922</v>
      </c>
      <c r="B30" s="20">
        <v>2448</v>
      </c>
      <c r="C30" s="20">
        <v>6.5</v>
      </c>
      <c r="D30" s="20">
        <v>45.217639054816203</v>
      </c>
      <c r="E30">
        <f t="shared" si="0"/>
        <v>7.9452054794520555E-2</v>
      </c>
      <c r="F30">
        <f t="shared" si="23"/>
        <v>2.7397260273972603E-3</v>
      </c>
      <c r="G30">
        <f t="shared" si="1"/>
        <v>-1.1669179584051876</v>
      </c>
      <c r="H30">
        <f t="shared" si="2"/>
        <v>-1.2943740067728318</v>
      </c>
      <c r="I30" s="1">
        <f t="shared" si="8"/>
        <v>0.12162175141415288</v>
      </c>
      <c r="J30" s="1">
        <f t="shared" si="9"/>
        <v>9.7768132301791821E-2</v>
      </c>
      <c r="K30">
        <f t="shared" si="3"/>
        <v>0.12139873856410147</v>
      </c>
      <c r="L30">
        <f t="shared" si="4"/>
        <v>6.4602937206076794E-4</v>
      </c>
      <c r="M30">
        <f t="shared" si="5"/>
        <v>-390.79387736078928</v>
      </c>
      <c r="N30">
        <f t="shared" si="6"/>
        <v>139.08750192715434</v>
      </c>
      <c r="O30">
        <f t="shared" si="10"/>
        <v>22.175397134100166</v>
      </c>
      <c r="Q30" s="8">
        <v>1</v>
      </c>
      <c r="R30" s="8">
        <f t="shared" si="7"/>
        <v>-0.12139873856410147</v>
      </c>
      <c r="S30" s="10">
        <f t="shared" si="11"/>
        <v>-3.4967116852739136E-2</v>
      </c>
      <c r="T30" s="8">
        <f t="shared" si="24"/>
        <v>-229.13301818233211</v>
      </c>
      <c r="U30" s="8">
        <f t="shared" si="12"/>
        <v>385.44300505338458</v>
      </c>
      <c r="V30" s="8">
        <f t="shared" si="13"/>
        <v>-290.68411200492039</v>
      </c>
      <c r="W30" s="8">
        <f t="shared" si="14"/>
        <v>94.758893048464188</v>
      </c>
      <c r="Y30">
        <f t="shared" si="15"/>
        <v>-123.05194055270695</v>
      </c>
      <c r="Z30">
        <f t="shared" si="16"/>
        <v>6.5</v>
      </c>
      <c r="AA30">
        <f t="shared" si="17"/>
        <v>-116.55194055270695</v>
      </c>
      <c r="AC30" s="3">
        <f t="shared" si="18"/>
        <v>0</v>
      </c>
      <c r="AD30" s="3">
        <f t="shared" si="19"/>
        <v>6.4602937206076794E-4</v>
      </c>
      <c r="AE30" s="3">
        <f t="shared" si="20"/>
        <v>139.08750192715434</v>
      </c>
      <c r="AF30" s="3">
        <f t="shared" si="21"/>
        <v>-390.79387736078928</v>
      </c>
      <c r="AG30" s="3">
        <f t="shared" si="22"/>
        <v>22.175397134100166</v>
      </c>
    </row>
    <row r="31" spans="1:33">
      <c r="A31" s="5">
        <v>43923</v>
      </c>
      <c r="B31" s="20">
        <v>2516.5</v>
      </c>
      <c r="C31" s="20">
        <v>6.75</v>
      </c>
      <c r="D31" s="20">
        <v>41.634995146741197</v>
      </c>
      <c r="E31">
        <f t="shared" si="0"/>
        <v>7.6712328767123292E-2</v>
      </c>
      <c r="F31">
        <f t="shared" si="23"/>
        <v>2.7397260273972603E-3</v>
      </c>
      <c r="G31">
        <f t="shared" si="1"/>
        <v>-1.0628298805387744</v>
      </c>
      <c r="H31">
        <f t="shared" si="2"/>
        <v>-1.1781462874128128</v>
      </c>
      <c r="I31" s="1">
        <f t="shared" si="8"/>
        <v>0.143929553133157</v>
      </c>
      <c r="J31" s="1">
        <f t="shared" si="9"/>
        <v>0.11936914577803834</v>
      </c>
      <c r="K31">
        <f t="shared" si="3"/>
        <v>0.14367472792725117</v>
      </c>
      <c r="L31">
        <f t="shared" si="4"/>
        <v>7.8011982590221252E-4</v>
      </c>
      <c r="M31">
        <f t="shared" si="5"/>
        <v>-422.12982411802165</v>
      </c>
      <c r="N31">
        <f t="shared" si="6"/>
        <v>157.78977972262615</v>
      </c>
      <c r="O31">
        <f t="shared" si="10"/>
        <v>26.142895830115531</v>
      </c>
      <c r="Q31" s="8">
        <v>1</v>
      </c>
      <c r="R31" s="8">
        <f t="shared" si="7"/>
        <v>-0.14367472792725117</v>
      </c>
      <c r="S31" s="10">
        <f t="shared" si="11"/>
        <v>-1.8808685548901301E-2</v>
      </c>
      <c r="T31" s="8">
        <f t="shared" si="24"/>
        <v>56.057527232366219</v>
      </c>
      <c r="U31" s="8">
        <f t="shared" si="12"/>
        <v>441.48879892030089</v>
      </c>
      <c r="V31" s="8">
        <f t="shared" si="13"/>
        <v>-354.80745282892758</v>
      </c>
      <c r="W31" s="8">
        <f t="shared" si="14"/>
        <v>86.681346091373314</v>
      </c>
      <c r="Y31">
        <f t="shared" si="15"/>
        <v>-123.05419933508669</v>
      </c>
      <c r="Z31">
        <f t="shared" si="16"/>
        <v>6.75</v>
      </c>
      <c r="AA31">
        <f t="shared" si="17"/>
        <v>-116.30419933508669</v>
      </c>
      <c r="AC31" s="3">
        <f t="shared" si="18"/>
        <v>0</v>
      </c>
      <c r="AD31" s="3">
        <f t="shared" si="19"/>
        <v>7.8011982590221252E-4</v>
      </c>
      <c r="AE31" s="3">
        <f t="shared" si="20"/>
        <v>157.78977972262615</v>
      </c>
      <c r="AF31" s="3">
        <f t="shared" si="21"/>
        <v>-422.12982411802165</v>
      </c>
      <c r="AG31" s="3">
        <f t="shared" si="22"/>
        <v>26.142895830115531</v>
      </c>
    </row>
    <row r="32" spans="1:33">
      <c r="A32" s="5">
        <v>43924</v>
      </c>
      <c r="B32" s="20">
        <v>2482.75</v>
      </c>
      <c r="C32" s="20">
        <v>3.5</v>
      </c>
      <c r="D32" s="20">
        <v>36.453028077228502</v>
      </c>
      <c r="E32">
        <f t="shared" si="0"/>
        <v>7.3972602739726029E-2</v>
      </c>
      <c r="F32">
        <f t="shared" si="23"/>
        <v>2.7397260273972603E-3</v>
      </c>
      <c r="G32">
        <f t="shared" si="1"/>
        <v>-1.3894164136076728</v>
      </c>
      <c r="H32">
        <f t="shared" si="2"/>
        <v>-1.4885610124657744</v>
      </c>
      <c r="I32" s="1">
        <f t="shared" si="8"/>
        <v>8.2353081009514828E-2</v>
      </c>
      <c r="J32" s="1">
        <f t="shared" si="9"/>
        <v>6.8301502289230681E-2</v>
      </c>
      <c r="K32">
        <f t="shared" si="3"/>
        <v>8.2212478934497776E-2</v>
      </c>
      <c r="L32">
        <f t="shared" si="4"/>
        <v>6.1626562290379935E-4</v>
      </c>
      <c r="M32">
        <f t="shared" si="5"/>
        <v>-248.98255514018643</v>
      </c>
      <c r="N32">
        <f t="shared" si="6"/>
        <v>102.4326558411889</v>
      </c>
      <c r="O32">
        <f t="shared" si="10"/>
        <v>14.425307537367715</v>
      </c>
      <c r="Q32" s="8">
        <v>1</v>
      </c>
      <c r="R32" s="8">
        <f t="shared" si="7"/>
        <v>-8.2212478934497776E-2</v>
      </c>
      <c r="S32" s="10">
        <f t="shared" si="11"/>
        <v>-2.2882853300072857E-2</v>
      </c>
      <c r="T32" s="8">
        <f t="shared" si="24"/>
        <v>-152.59539868675847</v>
      </c>
      <c r="U32" s="8">
        <f t="shared" si="12"/>
        <v>288.8786214955889</v>
      </c>
      <c r="V32" s="8">
        <f t="shared" si="13"/>
        <v>-200.61303207462436</v>
      </c>
      <c r="W32" s="8">
        <f t="shared" si="14"/>
        <v>88.265589420964545</v>
      </c>
      <c r="Y32">
        <f t="shared" si="15"/>
        <v>-123.05645815892939</v>
      </c>
      <c r="Z32">
        <f t="shared" si="16"/>
        <v>3.5</v>
      </c>
      <c r="AA32">
        <f t="shared" si="17"/>
        <v>-119.55645815892939</v>
      </c>
      <c r="AC32" s="3">
        <f t="shared" si="18"/>
        <v>0</v>
      </c>
      <c r="AD32" s="3">
        <f t="shared" si="19"/>
        <v>6.1626562290379935E-4</v>
      </c>
      <c r="AE32" s="3">
        <f t="shared" si="20"/>
        <v>102.4326558411889</v>
      </c>
      <c r="AF32" s="3">
        <f t="shared" si="21"/>
        <v>-248.98255514018643</v>
      </c>
      <c r="AG32" s="3">
        <f t="shared" si="22"/>
        <v>14.425307537367715</v>
      </c>
    </row>
    <row r="33" spans="1:33">
      <c r="A33" s="5">
        <v>43927</v>
      </c>
      <c r="B33" s="20">
        <v>2644.5</v>
      </c>
      <c r="C33" s="20">
        <v>17.5</v>
      </c>
      <c r="D33" s="20">
        <v>41.932272785500999</v>
      </c>
      <c r="E33">
        <f t="shared" si="0"/>
        <v>6.575342465753424E-2</v>
      </c>
      <c r="F33">
        <f t="shared" si="23"/>
        <v>8.21917808219178E-3</v>
      </c>
      <c r="G33">
        <f t="shared" si="1"/>
        <v>-0.6848409355241053</v>
      </c>
      <c r="H33">
        <f t="shared" si="2"/>
        <v>-0.79236547496343268</v>
      </c>
      <c r="I33" s="1">
        <f t="shared" si="8"/>
        <v>0.24672215034921224</v>
      </c>
      <c r="J33" s="1">
        <f t="shared" si="9"/>
        <v>0.21407380216542851</v>
      </c>
      <c r="K33">
        <f t="shared" si="3"/>
        <v>0.24634768751967817</v>
      </c>
      <c r="L33">
        <f t="shared" si="4"/>
        <v>1.108040545744519E-3</v>
      </c>
      <c r="M33">
        <f t="shared" si="5"/>
        <v>-670.30624582116309</v>
      </c>
      <c r="N33">
        <f t="shared" si="6"/>
        <v>213.65328510759176</v>
      </c>
      <c r="O33">
        <f t="shared" si="10"/>
        <v>40.196503852007105</v>
      </c>
      <c r="Q33" s="8">
        <v>1</v>
      </c>
      <c r="R33" s="8">
        <f t="shared" si="7"/>
        <v>-0.24634768751967817</v>
      </c>
      <c r="S33" s="10">
        <f t="shared" si="11"/>
        <v>-3.8757194567325397E-2</v>
      </c>
      <c r="T33" s="8">
        <f t="shared" si="24"/>
        <v>434.05555910350949</v>
      </c>
      <c r="U33" s="8">
        <f t="shared" si="12"/>
        <v>722.91133195294606</v>
      </c>
      <c r="V33" s="8">
        <f t="shared" si="13"/>
        <v>-633.96645964578897</v>
      </c>
      <c r="W33" s="8">
        <f t="shared" si="14"/>
        <v>88.944872307157084</v>
      </c>
      <c r="Y33">
        <f t="shared" si="15"/>
        <v>-123.06323487924283</v>
      </c>
      <c r="Z33">
        <f t="shared" si="16"/>
        <v>17.5</v>
      </c>
      <c r="AA33">
        <f t="shared" si="17"/>
        <v>-105.56323487924283</v>
      </c>
      <c r="AC33" s="3">
        <f t="shared" si="18"/>
        <v>0</v>
      </c>
      <c r="AD33" s="3">
        <f t="shared" si="19"/>
        <v>1.108040545744519E-3</v>
      </c>
      <c r="AE33" s="3">
        <f t="shared" si="20"/>
        <v>213.65328510759176</v>
      </c>
      <c r="AF33" s="3">
        <f t="shared" si="21"/>
        <v>-670.30624582116309</v>
      </c>
      <c r="AG33" s="3">
        <f t="shared" si="22"/>
        <v>40.196503852007105</v>
      </c>
    </row>
    <row r="34" spans="1:33">
      <c r="A34" s="5">
        <v>43928</v>
      </c>
      <c r="B34" s="20">
        <v>2642</v>
      </c>
      <c r="C34" s="20">
        <v>20.5</v>
      </c>
      <c r="D34" s="20">
        <v>44.551750386374401</v>
      </c>
      <c r="E34">
        <f t="shared" si="0"/>
        <v>6.3013698630136991E-2</v>
      </c>
      <c r="F34">
        <f t="shared" si="23"/>
        <v>2.7397260273972603E-3</v>
      </c>
      <c r="G34">
        <f t="shared" si="1"/>
        <v>-0.66226503057019381</v>
      </c>
      <c r="H34">
        <f t="shared" si="2"/>
        <v>-0.7741011933167804</v>
      </c>
      <c r="I34" s="1">
        <f t="shared" si="8"/>
        <v>0.2539006919258856</v>
      </c>
      <c r="J34" s="1">
        <f t="shared" si="9"/>
        <v>0.21943547593166127</v>
      </c>
      <c r="K34">
        <f t="shared" si="3"/>
        <v>0.25353137875937531</v>
      </c>
      <c r="L34">
        <f t="shared" si="4"/>
        <v>1.0827374066915581E-3</v>
      </c>
      <c r="M34">
        <f t="shared" si="5"/>
        <v>-738.77669544091168</v>
      </c>
      <c r="N34">
        <f t="shared" si="6"/>
        <v>212.17221530600605</v>
      </c>
      <c r="O34">
        <f t="shared" si="10"/>
        <v>39.48895848209051</v>
      </c>
      <c r="Q34" s="8">
        <v>1</v>
      </c>
      <c r="R34" s="8">
        <f t="shared" si="7"/>
        <v>-0.25353137875937531</v>
      </c>
      <c r="S34" s="10">
        <f t="shared" si="11"/>
        <v>-4.1231099813743642E-2</v>
      </c>
      <c r="T34" s="8">
        <f t="shared" si="24"/>
        <v>18.979312255279851</v>
      </c>
      <c r="U34" s="8">
        <f t="shared" si="12"/>
        <v>741.86268310944911</v>
      </c>
      <c r="V34" s="8">
        <f t="shared" si="13"/>
        <v>-649.32990268226956</v>
      </c>
      <c r="W34" s="8">
        <f t="shared" si="14"/>
        <v>92.532780427179546</v>
      </c>
      <c r="Y34">
        <f t="shared" si="15"/>
        <v>-123.06549386894498</v>
      </c>
      <c r="Z34">
        <f t="shared" si="16"/>
        <v>20.5</v>
      </c>
      <c r="AA34">
        <f t="shared" si="17"/>
        <v>-102.56549386894498</v>
      </c>
      <c r="AC34" s="3">
        <f t="shared" si="18"/>
        <v>0</v>
      </c>
      <c r="AD34" s="3">
        <f t="shared" si="19"/>
        <v>1.0827374066915581E-3</v>
      </c>
      <c r="AE34" s="3">
        <f t="shared" si="20"/>
        <v>212.17221530600605</v>
      </c>
      <c r="AF34" s="3">
        <f t="shared" si="21"/>
        <v>-738.77669544091168</v>
      </c>
      <c r="AG34" s="3">
        <f t="shared" si="22"/>
        <v>39.48895848209051</v>
      </c>
    </row>
    <row r="35" spans="1:33">
      <c r="A35" s="5">
        <v>43929</v>
      </c>
      <c r="B35" s="20">
        <v>2735</v>
      </c>
      <c r="C35" s="20">
        <v>40.75</v>
      </c>
      <c r="D35" s="20">
        <v>44.673273290413</v>
      </c>
      <c r="E35">
        <f t="shared" si="0"/>
        <v>6.0273972602739728E-2</v>
      </c>
      <c r="F35">
        <f>(A35-A34)/365</f>
        <v>2.7397260273972603E-3</v>
      </c>
      <c r="G35">
        <f t="shared" si="1"/>
        <v>-0.36164831882718868</v>
      </c>
      <c r="H35">
        <f>G35-$D35/100*SQRT($E35)</f>
        <v>-0.47132459168553392</v>
      </c>
      <c r="I35" s="1">
        <f t="shared" si="8"/>
        <v>0.35880742599597448</v>
      </c>
      <c r="J35" s="1">
        <f t="shared" si="9"/>
        <v>0.31870447848494426</v>
      </c>
      <c r="K35">
        <f t="shared" si="3"/>
        <v>0.35830819572188866</v>
      </c>
      <c r="L35">
        <f t="shared" si="4"/>
        <v>1.2440412776622784E-3</v>
      </c>
      <c r="M35">
        <f t="shared" si="5"/>
        <v>-912.03794089536234</v>
      </c>
      <c r="N35">
        <f t="shared" si="6"/>
        <v>250.56882906673627</v>
      </c>
      <c r="O35">
        <f t="shared" si="10"/>
        <v>54.862972615250548</v>
      </c>
      <c r="Q35" s="13">
        <v>1</v>
      </c>
      <c r="R35" s="13">
        <f>-K35</f>
        <v>-0.35830819572188866</v>
      </c>
      <c r="S35" s="13">
        <f t="shared" si="11"/>
        <v>-4.2393316135935888E-2</v>
      </c>
      <c r="T35" s="13">
        <f>(K35-K34)*B35</f>
        <v>286.56459439247396</v>
      </c>
      <c r="U35" s="13">
        <f t="shared" si="12"/>
        <v>1028.3985020641339</v>
      </c>
      <c r="V35" s="13">
        <f>R35*B35+C35</f>
        <v>-939.22291529936547</v>
      </c>
      <c r="W35" s="13">
        <f>U35+V35</f>
        <v>89.175586764768468</v>
      </c>
      <c r="Y35">
        <f t="shared" si="15"/>
        <v>-123.0677529001139</v>
      </c>
      <c r="Z35">
        <f t="shared" si="16"/>
        <v>40.75</v>
      </c>
      <c r="AA35">
        <f t="shared" si="17"/>
        <v>-82.317752900113902</v>
      </c>
      <c r="AC35" s="3">
        <f>Q35*K35+R35</f>
        <v>0</v>
      </c>
      <c r="AD35" s="3">
        <f>Q35*L35</f>
        <v>1.2440412776622784E-3</v>
      </c>
      <c r="AE35" s="3">
        <f>Q35*N35</f>
        <v>250.56882906673627</v>
      </c>
      <c r="AF35" s="3">
        <f>Q35*M35</f>
        <v>-912.03794089536234</v>
      </c>
      <c r="AG35" s="3">
        <f>Q35*O35</f>
        <v>54.862972615250548</v>
      </c>
    </row>
    <row r="36" spans="1:33">
      <c r="A36" s="5">
        <v>43930</v>
      </c>
      <c r="B36" s="20">
        <v>2779.75</v>
      </c>
      <c r="C36" s="20">
        <v>57.5</v>
      </c>
      <c r="D36" s="20">
        <v>45.4563535797081</v>
      </c>
      <c r="E36">
        <f t="shared" si="0"/>
        <v>5.7534246575342465E-2</v>
      </c>
      <c r="F36">
        <f>(A36-A35)/365</f>
        <v>2.7397260273972603E-3</v>
      </c>
      <c r="G36">
        <f t="shared" si="1"/>
        <v>-0.21516518580252281</v>
      </c>
      <c r="H36">
        <f>G36-$D36/100*SQRT($E36)</f>
        <v>-0.3241981476353385</v>
      </c>
      <c r="I36" s="1">
        <f t="shared" si="8"/>
        <v>0.41481926646077893</v>
      </c>
      <c r="J36" s="1">
        <f t="shared" si="9"/>
        <v>0.37289401219282481</v>
      </c>
      <c r="K36">
        <f t="shared" si="3"/>
        <v>0.41426832080409204</v>
      </c>
      <c r="L36">
        <f t="shared" si="4"/>
        <v>1.2844472136208532E-3</v>
      </c>
      <c r="M36">
        <f t="shared" si="5"/>
        <v>-1005.9264847902158</v>
      </c>
      <c r="N36">
        <f t="shared" si="6"/>
        <v>259.56657318315501</v>
      </c>
      <c r="O36">
        <f t="shared" si="10"/>
        <v>61.277449094956204</v>
      </c>
      <c r="Q36" s="13">
        <v>1</v>
      </c>
      <c r="R36" s="13">
        <f>-K36</f>
        <v>-0.41426832080409204</v>
      </c>
      <c r="S36" s="13">
        <f t="shared" si="11"/>
        <v>-6.2022166279200958E-2</v>
      </c>
      <c r="T36" s="13">
        <f>(K36-K35)*B36</f>
        <v>155.55515769725486</v>
      </c>
      <c r="U36" s="13">
        <f t="shared" si="12"/>
        <v>1183.9105152203254</v>
      </c>
      <c r="V36" s="13">
        <f>R36*B36+C36</f>
        <v>-1094.0623647551749</v>
      </c>
      <c r="W36" s="13">
        <f>U36+V36</f>
        <v>89.848150465150411</v>
      </c>
      <c r="Y36">
        <f t="shared" si="15"/>
        <v>-123.07001197275035</v>
      </c>
      <c r="Z36">
        <f t="shared" si="16"/>
        <v>57.5</v>
      </c>
      <c r="AA36">
        <f t="shared" si="17"/>
        <v>-65.570011972750351</v>
      </c>
      <c r="AC36" s="3">
        <f>Q36*K36+R36</f>
        <v>0</v>
      </c>
      <c r="AD36" s="3">
        <f>Q36*L36</f>
        <v>1.2844472136208532E-3</v>
      </c>
      <c r="AE36" s="3">
        <f>Q36*N36</f>
        <v>259.56657318315501</v>
      </c>
      <c r="AF36" s="3">
        <f>Q36*M36</f>
        <v>-1005.9264847902158</v>
      </c>
      <c r="AG36" s="3">
        <f>Q36*O36</f>
        <v>61.277449094956204</v>
      </c>
    </row>
    <row r="37" spans="1:33">
      <c r="A37" s="2"/>
      <c r="C37" t="s">
        <v>100</v>
      </c>
      <c r="D37" s="5">
        <v>43951</v>
      </c>
    </row>
    <row r="38" spans="1:33">
      <c r="A38" t="s">
        <v>12</v>
      </c>
      <c r="B38">
        <v>2600</v>
      </c>
    </row>
    <row r="39" spans="1:33">
      <c r="A39" t="s">
        <v>20</v>
      </c>
      <c r="B39" s="6">
        <v>2.3099999999999999E-2</v>
      </c>
      <c r="D39" s="5"/>
    </row>
    <row r="40" spans="1:33">
      <c r="A40" t="s">
        <v>21</v>
      </c>
      <c r="B40" s="6">
        <v>6.7000000000000002E-3</v>
      </c>
      <c r="C40" t="s">
        <v>99</v>
      </c>
    </row>
    <row r="41" spans="1:33" ht="21">
      <c r="A41" s="25" t="s">
        <v>55</v>
      </c>
      <c r="B41" s="25" t="s">
        <v>61</v>
      </c>
      <c r="C41" s="26"/>
      <c r="D41" s="25"/>
      <c r="E41" s="24" t="s">
        <v>104</v>
      </c>
      <c r="F41" s="23"/>
      <c r="G41" s="23"/>
      <c r="Q41" s="7" t="s">
        <v>52</v>
      </c>
      <c r="S41" t="s">
        <v>42</v>
      </c>
      <c r="AC41" s="46" t="s">
        <v>54</v>
      </c>
      <c r="AD41" s="46"/>
      <c r="AE41" s="46"/>
      <c r="AF41" s="46"/>
      <c r="AG41" s="46"/>
    </row>
    <row r="42" spans="1:33">
      <c r="C42" s="45" t="s">
        <v>32</v>
      </c>
      <c r="D42" s="45"/>
      <c r="G42" s="45" t="s">
        <v>33</v>
      </c>
      <c r="H42" s="45"/>
      <c r="I42" s="45"/>
      <c r="J42" s="45"/>
      <c r="K42" s="45"/>
      <c r="L42" s="45"/>
      <c r="M42" s="45"/>
      <c r="N42" s="45"/>
      <c r="O42" s="45"/>
      <c r="Q42" s="49" t="s">
        <v>41</v>
      </c>
      <c r="R42" s="49"/>
      <c r="S42" s="49"/>
      <c r="T42" s="11"/>
      <c r="U42" s="11"/>
      <c r="V42" s="11"/>
      <c r="W42" s="11"/>
      <c r="X42" s="11"/>
      <c r="Y42" s="11"/>
      <c r="AC42" s="3"/>
      <c r="AD42" s="3"/>
      <c r="AE42" s="3"/>
      <c r="AF42" s="3"/>
      <c r="AG42" s="3"/>
    </row>
    <row r="43" spans="1:33">
      <c r="A43" s="3" t="s">
        <v>10</v>
      </c>
      <c r="B43" s="2" t="s">
        <v>14</v>
      </c>
      <c r="C43" s="2" t="s">
        <v>13</v>
      </c>
      <c r="D43" s="2" t="s">
        <v>11</v>
      </c>
      <c r="E43" t="s">
        <v>15</v>
      </c>
      <c r="F43" s="2" t="s">
        <v>17</v>
      </c>
      <c r="G43" s="2" t="s">
        <v>0</v>
      </c>
      <c r="H43" s="2" t="s">
        <v>2</v>
      </c>
      <c r="I43" s="2" t="s">
        <v>8</v>
      </c>
      <c r="J43" s="2" t="s">
        <v>9</v>
      </c>
      <c r="K43" s="2" t="s">
        <v>4</v>
      </c>
      <c r="L43" s="2" t="s">
        <v>18</v>
      </c>
      <c r="M43" s="2" t="s">
        <v>19</v>
      </c>
      <c r="N43" s="2" t="s">
        <v>5</v>
      </c>
      <c r="O43" s="2" t="s">
        <v>6</v>
      </c>
      <c r="Q43" s="11" t="s">
        <v>22</v>
      </c>
      <c r="R43" s="11" t="s">
        <v>35</v>
      </c>
      <c r="S43" s="11" t="s">
        <v>36</v>
      </c>
      <c r="T43" s="11" t="s">
        <v>24</v>
      </c>
      <c r="U43" s="11" t="s">
        <v>37</v>
      </c>
      <c r="V43" s="11" t="s">
        <v>38</v>
      </c>
      <c r="W43" s="11" t="s">
        <v>39</v>
      </c>
      <c r="X43" s="11" t="s">
        <v>40</v>
      </c>
      <c r="Y43" s="12" t="s">
        <v>27</v>
      </c>
      <c r="AC43" s="3" t="s">
        <v>4</v>
      </c>
      <c r="AD43" s="3" t="s">
        <v>7</v>
      </c>
      <c r="AE43" s="3" t="s">
        <v>5</v>
      </c>
      <c r="AF43" s="3" t="s">
        <v>48</v>
      </c>
      <c r="AG43" s="3" t="s">
        <v>6</v>
      </c>
    </row>
    <row r="44" spans="1:33">
      <c r="A44" s="5">
        <v>43899</v>
      </c>
      <c r="B44" s="20">
        <v>2735.25</v>
      </c>
      <c r="C44" s="20">
        <v>138.5</v>
      </c>
      <c r="D44" s="20">
        <v>49.627631284312201</v>
      </c>
      <c r="E44">
        <f t="shared" ref="E44:E67" si="25">($D$1-A44)/365</f>
        <v>0.14246575342465753</v>
      </c>
      <c r="G44">
        <f>(LN($B44/$B$38)+($B$40-$B$39+1/2*($D44/100)^2)*$E44)/($D44/100*SQRT($E44))</f>
        <v>0.35190971539421761</v>
      </c>
      <c r="H44">
        <f>G44-$D44/100*SQRT($E44)</f>
        <v>0.16459202838083031</v>
      </c>
      <c r="I44" s="1">
        <f>_xlfn.NORM.S.DIST(-$G44,TRUE)</f>
        <v>0.36245298642796731</v>
      </c>
      <c r="J44" s="1">
        <f>_xlfn.NORM.S.DIST(-$H44,TRUE)</f>
        <v>0.43463255303564574</v>
      </c>
      <c r="K44">
        <f>-EXP(-$B$39*$E44)*I44</f>
        <v>-0.36126212915093003</v>
      </c>
      <c r="L44">
        <f>(1/SQRT(2*PI()))*EXP(-(G44^2)/2)/(B44*D44/100*SQRT(E44))*EXP(-$B$39*E44)</f>
        <v>7.2948001063658039E-4</v>
      </c>
      <c r="M44">
        <f>-(1/SQRT(2*PI()))*EXP(-(G44^2)/2)*B44*D44/100*EXP(-$B$39*E44)/(2*SQRT(E44))-($B$39*EXP(-$B$39*E44)*B44*I44)+($B$40*$B$38*EXP(-$B$40*E44)*J44)</f>
        <v>-687.34754355435848</v>
      </c>
      <c r="N44">
        <f>(1/SQRT(2*PI()))*EXP(-(G44^2)/2)*B44*EXP(-$B$39*E44)*SQRT(E44)</f>
        <v>385.87040889846361</v>
      </c>
      <c r="O44">
        <f>-E44*EXP(-$B$40*E44)*$B$38*J44</f>
        <v>-160.83906325576913</v>
      </c>
      <c r="Q44" s="11">
        <v>1</v>
      </c>
      <c r="R44" s="11">
        <f t="shared" ref="R44:R67" si="26">-L13/L44</f>
        <v>-1.0513089019903901</v>
      </c>
      <c r="S44" s="11">
        <f t="shared" ref="S44:S67" si="27">-(K13+R44*K44)</f>
        <v>-0.81595879572859265</v>
      </c>
      <c r="T44" s="11"/>
      <c r="U44" s="11"/>
      <c r="V44" s="11"/>
      <c r="W44" s="11">
        <f>-(Q44*C13+R44*C44+S44*B44)</f>
        <v>2254.457578942302</v>
      </c>
      <c r="X44" s="11">
        <f>-W44</f>
        <v>-2254.457578942302</v>
      </c>
      <c r="Y44" s="11">
        <f>W44+X44</f>
        <v>0</v>
      </c>
      <c r="AC44" s="3">
        <f t="shared" ref="AC44:AC67" si="28">Q44*K13+R44*K44+S44</f>
        <v>0</v>
      </c>
      <c r="AD44" s="3">
        <f t="shared" ref="AD44:AD67" si="29">Q44*L13+R44*L44</f>
        <v>0</v>
      </c>
      <c r="AE44" s="3">
        <f t="shared" ref="AE44:AE67" si="30">Q44*N13+R44*N44</f>
        <v>-0.18242442230291545</v>
      </c>
      <c r="AF44" s="3">
        <f t="shared" ref="AF44:AF67" si="31">Q44*M13+R44*M44</f>
        <v>37.245474118817015</v>
      </c>
      <c r="AG44" s="3">
        <f t="shared" ref="AG44:AG67" si="32">Q44*O13+R44*O44</f>
        <v>317.79685480212459</v>
      </c>
    </row>
    <row r="45" spans="1:33">
      <c r="A45" s="5">
        <v>43900</v>
      </c>
      <c r="B45" s="20">
        <v>2854.25</v>
      </c>
      <c r="C45" s="20">
        <v>93.75</v>
      </c>
      <c r="D45" s="20">
        <v>48.100913286993702</v>
      </c>
      <c r="E45">
        <f t="shared" si="25"/>
        <v>0.13972602739726028</v>
      </c>
      <c r="F45">
        <f>(A45-A44)/365</f>
        <v>2.7397260273972603E-3</v>
      </c>
      <c r="G45">
        <f t="shared" ref="G45:G67" si="33">(LN($B45/$B$38)+($B$40-$B$39+1/2*($D45/100)^2)*$E45)/($D45/100*SQRT($E45))</f>
        <v>0.59604997179154728</v>
      </c>
      <c r="H45">
        <f t="shared" ref="H45:H65" si="34">G45-$D45/100*SQRT($E45)</f>
        <v>0.41624902339538089</v>
      </c>
      <c r="I45" s="1">
        <f>_xlfn.NORM.S.DIST(-$G45,TRUE)</f>
        <v>0.27557092189861609</v>
      </c>
      <c r="J45" s="1">
        <f>_xlfn.NORM.S.DIST(-$H45,TRUE)</f>
        <v>0.3386138951663773</v>
      </c>
      <c r="K45">
        <f t="shared" ref="K45:K67" si="35">-EXP(-$B$39*$E45)*I45</f>
        <v>-0.27468290344812774</v>
      </c>
      <c r="L45">
        <f t="shared" ref="L45:L67" si="36">(1/SQRT(2*PI()))*EXP(-(G45^2)/2)/(B45*D45/100*SQRT(E45))*EXP(-$B$39*E45)</f>
        <v>6.4874975755176796E-4</v>
      </c>
      <c r="M45">
        <f t="shared" ref="M45:M67" si="37">-(1/SQRT(2*PI()))*EXP(-(G45^2)/2)*B45*D45/100*EXP(-$B$39*E45)/(2*SQRT(E45))-($B$39*EXP(-$B$39*E45)*B45*I45)+($B$40*$B$38*EXP(-$B$40*E45)*J45)</f>
        <v>-623.63509845521583</v>
      </c>
      <c r="N45">
        <f t="shared" ref="N45:N67" si="38">(1/SQRT(2*PI()))*EXP(-(G45^2)/2)*B45*EXP(-$B$39*E45)*SQRT(E45)</f>
        <v>355.21546224064161</v>
      </c>
      <c r="O45">
        <f t="shared" ref="O45:O67" si="39">-E45*EXP(-$B$40*E45)*$B$38*J45</f>
        <v>-122.89914574762177</v>
      </c>
      <c r="Q45" s="11">
        <v>1</v>
      </c>
      <c r="R45" s="11">
        <f t="shared" si="26"/>
        <v>-1.1914257885456141</v>
      </c>
      <c r="S45" s="11">
        <f t="shared" si="27"/>
        <v>-0.85187856017111052</v>
      </c>
      <c r="T45" s="11">
        <f t="shared" ref="T45:T67" si="40">(EXP($B$3*F45)-1)*B44*S44</f>
        <v>-0.14125314080716961</v>
      </c>
      <c r="U45" s="11">
        <f>-(R45-R44)*C45</f>
        <v>13.135958114552253</v>
      </c>
      <c r="V45" s="11">
        <f>-(S45-S44)*B45</f>
        <v>102.52398766005665</v>
      </c>
      <c r="W45" s="11">
        <f t="shared" ref="W45:W67" si="41">W44*EXP(F45*$B$4)+T45+V45+U45</f>
        <v>2370.0176551498394</v>
      </c>
      <c r="X45" s="11">
        <f t="shared" ref="X45:X67" si="42">Q45*C14+R45*C45+B45*S45</f>
        <v>-2372.6705480445435</v>
      </c>
      <c r="Y45" s="11">
        <f t="shared" ref="Y45:Y65" si="43">W45+X45</f>
        <v>-2.6528928947041095</v>
      </c>
      <c r="AC45" s="3">
        <f t="shared" si="28"/>
        <v>0</v>
      </c>
      <c r="AD45" s="3">
        <f t="shared" si="29"/>
        <v>0</v>
      </c>
      <c r="AE45" s="3">
        <f t="shared" si="30"/>
        <v>0.13087179383359171</v>
      </c>
      <c r="AF45" s="3">
        <f t="shared" si="31"/>
        <v>39.990898802112042</v>
      </c>
      <c r="AG45" s="3">
        <f t="shared" si="32"/>
        <v>327.5352894519616</v>
      </c>
    </row>
    <row r="46" spans="1:33">
      <c r="A46" s="5">
        <v>43901</v>
      </c>
      <c r="B46" s="20">
        <v>2729</v>
      </c>
      <c r="C46" s="20">
        <v>139</v>
      </c>
      <c r="D46" s="20">
        <v>50.148743742813103</v>
      </c>
      <c r="E46">
        <f t="shared" si="25"/>
        <v>0.13698630136986301</v>
      </c>
      <c r="F46">
        <f t="shared" ref="F46:F65" si="44">(A46-A45)/365</f>
        <v>2.7397260273972603E-3</v>
      </c>
      <c r="G46">
        <f t="shared" si="33"/>
        <v>0.34159226465742326</v>
      </c>
      <c r="H46">
        <f t="shared" si="34"/>
        <v>0.15598343681682519</v>
      </c>
      <c r="I46" s="1">
        <f>_xlfn.NORM.S.DIST(-$G46,TRUE)</f>
        <v>0.36632887966125727</v>
      </c>
      <c r="J46" s="1">
        <f t="shared" ref="J46:J67" si="45">_xlfn.NORM.S.DIST(-$H46,TRUE)</f>
        <v>0.43802303845718699</v>
      </c>
      <c r="K46">
        <f t="shared" si="35"/>
        <v>-0.36517150672800641</v>
      </c>
      <c r="L46">
        <f t="shared" si="36"/>
        <v>7.4062052256069902E-4</v>
      </c>
      <c r="M46">
        <f t="shared" si="37"/>
        <v>-708.97122114023</v>
      </c>
      <c r="N46">
        <f t="shared" si="38"/>
        <v>378.91344141407876</v>
      </c>
      <c r="O46">
        <f t="shared" si="39"/>
        <v>-155.86508555302373</v>
      </c>
      <c r="Q46" s="11">
        <v>1</v>
      </c>
      <c r="R46" s="11">
        <f t="shared" si="26"/>
        <v>-1.0450441098810603</v>
      </c>
      <c r="S46" s="11">
        <f t="shared" si="27"/>
        <v>-0.81193764177255501</v>
      </c>
      <c r="T46" s="11">
        <f t="shared" si="40"/>
        <v>-0.15388722072666366</v>
      </c>
      <c r="U46" s="11">
        <f t="shared" ref="U46:U65" si="46">-(R46-R45)*C46</f>
        <v>-20.347053334372973</v>
      </c>
      <c r="V46" s="11">
        <f>-(S46-S45)*B46</f>
        <v>-108.998766309658</v>
      </c>
      <c r="W46" s="11">
        <f t="shared" si="41"/>
        <v>2240.5614531180418</v>
      </c>
      <c r="X46" s="11">
        <f t="shared" si="42"/>
        <v>-2244.0389556707701</v>
      </c>
      <c r="Y46" s="11">
        <f t="shared" si="43"/>
        <v>-3.4775025527283105</v>
      </c>
      <c r="AC46" s="3">
        <f t="shared" si="28"/>
        <v>0</v>
      </c>
      <c r="AD46" s="3">
        <f t="shared" si="29"/>
        <v>0</v>
      </c>
      <c r="AE46" s="3">
        <f t="shared" si="30"/>
        <v>-0.20780333298125697</v>
      </c>
      <c r="AF46" s="3">
        <f t="shared" si="31"/>
        <v>37.080165286474653</v>
      </c>
      <c r="AG46" s="3">
        <f t="shared" si="32"/>
        <v>303.60584157808569</v>
      </c>
    </row>
    <row r="47" spans="1:33">
      <c r="A47" s="5">
        <v>43902</v>
      </c>
      <c r="B47" s="20">
        <v>2456</v>
      </c>
      <c r="C47" s="20">
        <v>300.25</v>
      </c>
      <c r="D47" s="20">
        <v>59.9911413635797</v>
      </c>
      <c r="E47">
        <f t="shared" si="25"/>
        <v>0.13424657534246576</v>
      </c>
      <c r="F47">
        <f t="shared" si="44"/>
        <v>2.7397260273972603E-3</v>
      </c>
      <c r="G47">
        <f t="shared" si="33"/>
        <v>-0.15933093413147076</v>
      </c>
      <c r="H47">
        <f t="shared" si="34"/>
        <v>-0.37913652386379315</v>
      </c>
      <c r="I47" s="1">
        <f t="shared" ref="I47:I67" si="47">_xlfn.NORM.S.DIST(-$G47,TRUE)</f>
        <v>0.56329592492798652</v>
      </c>
      <c r="J47" s="1">
        <f t="shared" si="45"/>
        <v>0.64770675736204764</v>
      </c>
      <c r="K47">
        <f t="shared" si="35"/>
        <v>-0.56155179600337135</v>
      </c>
      <c r="L47">
        <f t="shared" si="36"/>
        <v>7.2741726875835103E-4</v>
      </c>
      <c r="M47">
        <f t="shared" si="37"/>
        <v>-810.14494229532681</v>
      </c>
      <c r="N47">
        <f t="shared" si="38"/>
        <v>353.37081010575639</v>
      </c>
      <c r="O47">
        <f t="shared" si="39"/>
        <v>-225.87302305594486</v>
      </c>
      <c r="Q47" s="11">
        <v>1</v>
      </c>
      <c r="R47" s="11">
        <f t="shared" si="26"/>
        <v>-0.84933211746923676</v>
      </c>
      <c r="S47" s="11">
        <f t="shared" si="27"/>
        <v>-0.75280619542620653</v>
      </c>
      <c r="T47" s="11">
        <f t="shared" si="40"/>
        <v>-0.14023585602930044</v>
      </c>
      <c r="U47" s="11">
        <f t="shared" si="46"/>
        <v>-58.762525721650029</v>
      </c>
      <c r="V47" s="11">
        <f t="shared" ref="V47:V65" si="48">-(S47-S46)*B47</f>
        <v>-145.22683222663187</v>
      </c>
      <c r="W47" s="11">
        <f t="shared" si="41"/>
        <v>2036.472987805555</v>
      </c>
      <c r="X47" s="11">
        <f t="shared" si="42"/>
        <v>-2050.9039842369016</v>
      </c>
      <c r="Y47" s="11">
        <f t="shared" si="43"/>
        <v>-14.430996431346557</v>
      </c>
      <c r="AC47" s="3">
        <f t="shared" si="28"/>
        <v>0</v>
      </c>
      <c r="AD47" s="3">
        <f t="shared" si="29"/>
        <v>0</v>
      </c>
      <c r="AE47" s="3">
        <f t="shared" si="30"/>
        <v>0.12043130501831456</v>
      </c>
      <c r="AF47" s="3">
        <f t="shared" si="31"/>
        <v>28.609790372495468</v>
      </c>
      <c r="AG47" s="3">
        <f t="shared" si="32"/>
        <v>271.55005410591167</v>
      </c>
    </row>
    <row r="48" spans="1:33">
      <c r="A48" s="5">
        <v>43903</v>
      </c>
      <c r="B48" s="20">
        <v>2684</v>
      </c>
      <c r="C48" s="20">
        <v>162.75</v>
      </c>
      <c r="D48" s="20">
        <v>52.975813585925899</v>
      </c>
      <c r="E48">
        <f t="shared" si="25"/>
        <v>0.13150684931506848</v>
      </c>
      <c r="F48">
        <f t="shared" si="44"/>
        <v>2.7397260273972603E-3</v>
      </c>
      <c r="G48">
        <f t="shared" si="33"/>
        <v>0.2503416800728171</v>
      </c>
      <c r="H48">
        <f t="shared" si="34"/>
        <v>5.8230861879392248E-2</v>
      </c>
      <c r="I48" s="1">
        <f t="shared" si="47"/>
        <v>0.40116156317189017</v>
      </c>
      <c r="J48" s="1">
        <f t="shared" si="45"/>
        <v>0.47678236909887034</v>
      </c>
      <c r="K48">
        <f t="shared" si="35"/>
        <v>-0.3999447604205173</v>
      </c>
      <c r="L48">
        <f t="shared" si="36"/>
        <v>7.4756266567118474E-4</v>
      </c>
      <c r="M48">
        <f t="shared" si="37"/>
        <v>-772.17845482678547</v>
      </c>
      <c r="N48">
        <f t="shared" si="38"/>
        <v>375.17909811800763</v>
      </c>
      <c r="O48">
        <f t="shared" si="39"/>
        <v>-162.87680931085916</v>
      </c>
      <c r="Q48" s="11">
        <v>1</v>
      </c>
      <c r="R48" s="11">
        <f t="shared" si="26"/>
        <v>-1.0018340208731304</v>
      </c>
      <c r="S48" s="11">
        <f t="shared" si="27"/>
        <v>-0.8022500104731064</v>
      </c>
      <c r="T48" s="11">
        <f t="shared" si="40"/>
        <v>-0.11701577284056588</v>
      </c>
      <c r="U48" s="11">
        <f t="shared" si="46"/>
        <v>24.819684778983699</v>
      </c>
      <c r="V48" s="11">
        <f t="shared" si="48"/>
        <v>132.70719958587927</v>
      </c>
      <c r="W48" s="11">
        <f t="shared" si="41"/>
        <v>2193.9202385735998</v>
      </c>
      <c r="X48" s="11">
        <f t="shared" si="42"/>
        <v>-2220.7875150069194</v>
      </c>
      <c r="Y48" s="11">
        <f t="shared" si="43"/>
        <v>-26.867276433319603</v>
      </c>
      <c r="AC48" s="3">
        <f t="shared" si="28"/>
        <v>0</v>
      </c>
      <c r="AD48" s="3">
        <f t="shared" si="29"/>
        <v>0</v>
      </c>
      <c r="AE48" s="3">
        <f t="shared" si="30"/>
        <v>-0.29499144807033417</v>
      </c>
      <c r="AF48" s="3">
        <f t="shared" si="31"/>
        <v>36.28365177329124</v>
      </c>
      <c r="AG48" s="3">
        <f t="shared" si="32"/>
        <v>287.16383961146494</v>
      </c>
    </row>
    <row r="49" spans="1:33">
      <c r="A49" s="5">
        <v>43906</v>
      </c>
      <c r="B49" s="20">
        <v>2405.25</v>
      </c>
      <c r="C49" s="20">
        <v>343</v>
      </c>
      <c r="D49" s="20">
        <v>66.695143707430205</v>
      </c>
      <c r="E49">
        <f t="shared" si="25"/>
        <v>0.12328767123287671</v>
      </c>
      <c r="F49">
        <f t="shared" si="44"/>
        <v>8.21917808219178E-3</v>
      </c>
      <c r="G49">
        <f t="shared" si="33"/>
        <v>-0.22400859121350886</v>
      </c>
      <c r="H49">
        <f t="shared" si="34"/>
        <v>-0.45819087517136148</v>
      </c>
      <c r="I49" s="1">
        <f t="shared" si="47"/>
        <v>0.58862469086121183</v>
      </c>
      <c r="J49" s="1">
        <f t="shared" si="45"/>
        <v>0.67659234252935951</v>
      </c>
      <c r="K49">
        <f t="shared" si="35"/>
        <v>-0.58695070483672895</v>
      </c>
      <c r="L49">
        <f t="shared" si="36"/>
        <v>6.8875147598227804E-4</v>
      </c>
      <c r="M49">
        <f t="shared" si="37"/>
        <v>-907.05496141860181</v>
      </c>
      <c r="N49">
        <f t="shared" si="38"/>
        <v>327.63995013614596</v>
      </c>
      <c r="O49">
        <f t="shared" si="39"/>
        <v>-216.70121005274336</v>
      </c>
      <c r="Q49" s="11">
        <v>1</v>
      </c>
      <c r="R49" s="11">
        <f t="shared" si="26"/>
        <v>-0.84022563748432377</v>
      </c>
      <c r="S49" s="11">
        <f t="shared" si="27"/>
        <v>-0.75649895605094508</v>
      </c>
      <c r="T49" s="11">
        <f t="shared" si="40"/>
        <v>-0.4088592634883792</v>
      </c>
      <c r="U49" s="11">
        <f t="shared" si="46"/>
        <v>-55.43167550236069</v>
      </c>
      <c r="V49" s="11">
        <f t="shared" si="48"/>
        <v>-110.04272364890352</v>
      </c>
      <c r="W49" s="11">
        <f t="shared" si="41"/>
        <v>2028.1577993671135</v>
      </c>
      <c r="X49" s="11">
        <f t="shared" si="42"/>
        <v>-2059.0165076986586</v>
      </c>
      <c r="Y49" s="11">
        <f t="shared" si="43"/>
        <v>-30.858708331545131</v>
      </c>
      <c r="AC49" s="3">
        <f t="shared" si="28"/>
        <v>0</v>
      </c>
      <c r="AD49" s="3">
        <f t="shared" si="29"/>
        <v>0</v>
      </c>
      <c r="AE49" s="3">
        <f t="shared" si="30"/>
        <v>5.7117791748169111E-2</v>
      </c>
      <c r="AF49" s="3">
        <f t="shared" si="31"/>
        <v>28.123213666751326</v>
      </c>
      <c r="AG49" s="3">
        <f t="shared" si="32"/>
        <v>250.11436664888717</v>
      </c>
    </row>
    <row r="50" spans="1:33">
      <c r="A50" s="5">
        <v>43907</v>
      </c>
      <c r="B50" s="20">
        <v>2485.5</v>
      </c>
      <c r="C50" s="20">
        <v>283.25</v>
      </c>
      <c r="D50" s="20">
        <v>63.054400269752499</v>
      </c>
      <c r="E50">
        <f t="shared" si="25"/>
        <v>0.12054794520547946</v>
      </c>
      <c r="F50">
        <f t="shared" si="44"/>
        <v>2.7397260273972603E-3</v>
      </c>
      <c r="G50">
        <f t="shared" si="33"/>
        <v>-0.10528955409743786</v>
      </c>
      <c r="H50">
        <f t="shared" si="34"/>
        <v>-0.32421452736493678</v>
      </c>
      <c r="I50" s="1">
        <f t="shared" si="47"/>
        <v>0.5419269742370969</v>
      </c>
      <c r="J50" s="1">
        <f t="shared" si="45"/>
        <v>0.62711218781877132</v>
      </c>
      <c r="K50">
        <f t="shared" si="35"/>
        <v>-0.54041999239325</v>
      </c>
      <c r="L50">
        <f t="shared" si="36"/>
        <v>7.2708362052321452E-4</v>
      </c>
      <c r="M50">
        <f t="shared" si="37"/>
        <v>-913.03307155580353</v>
      </c>
      <c r="N50">
        <f t="shared" si="38"/>
        <v>341.41854518177473</v>
      </c>
      <c r="O50">
        <f t="shared" si="39"/>
        <v>-196.39373705662337</v>
      </c>
      <c r="Q50" s="11">
        <v>1</v>
      </c>
      <c r="R50" s="11">
        <f t="shared" si="26"/>
        <v>-0.86911081482334218</v>
      </c>
      <c r="S50" s="11">
        <f t="shared" si="27"/>
        <v>-0.76310016438537254</v>
      </c>
      <c r="T50" s="11">
        <f t="shared" si="40"/>
        <v>-0.11515993593874745</v>
      </c>
      <c r="U50" s="11">
        <f t="shared" si="46"/>
        <v>8.1817264812769643</v>
      </c>
      <c r="V50" s="11">
        <f t="shared" si="48"/>
        <v>16.407303315219441</v>
      </c>
      <c r="W50" s="11">
        <f t="shared" si="41"/>
        <v>2052.6688987673274</v>
      </c>
      <c r="X50" s="11">
        <f t="shared" si="42"/>
        <v>-2086.1110968785551</v>
      </c>
      <c r="Y50" s="11">
        <f t="shared" si="43"/>
        <v>-33.442198111227754</v>
      </c>
      <c r="AC50" s="3">
        <f t="shared" si="28"/>
        <v>0</v>
      </c>
      <c r="AD50" s="3">
        <f t="shared" si="29"/>
        <v>0</v>
      </c>
      <c r="AE50" s="3">
        <f t="shared" si="30"/>
        <v>-0.16160342935017979</v>
      </c>
      <c r="AF50" s="3">
        <f t="shared" si="31"/>
        <v>30.889276321589023</v>
      </c>
      <c r="AG50" s="3">
        <f t="shared" si="32"/>
        <v>247.58677515465251</v>
      </c>
    </row>
    <row r="51" spans="1:33">
      <c r="A51" s="5">
        <v>43908</v>
      </c>
      <c r="B51" s="20">
        <v>2401.5</v>
      </c>
      <c r="C51" s="20">
        <v>328.25</v>
      </c>
      <c r="D51" s="20">
        <v>62.913092195384799</v>
      </c>
      <c r="E51">
        <f t="shared" si="25"/>
        <v>0.11780821917808219</v>
      </c>
      <c r="F51">
        <f t="shared" si="44"/>
        <v>2.7397260273972603E-3</v>
      </c>
      <c r="G51">
        <f t="shared" si="33"/>
        <v>-0.26875958595150118</v>
      </c>
      <c r="H51">
        <f t="shared" si="34"/>
        <v>-0.48469746279432091</v>
      </c>
      <c r="I51" s="1">
        <f t="shared" si="47"/>
        <v>0.60594265244243006</v>
      </c>
      <c r="J51" s="1">
        <f t="shared" si="45"/>
        <v>0.68605451673447493</v>
      </c>
      <c r="K51">
        <f t="shared" si="35"/>
        <v>-0.60429590009676182</v>
      </c>
      <c r="L51">
        <f t="shared" si="36"/>
        <v>7.4000022936089474E-4</v>
      </c>
      <c r="M51">
        <f t="shared" si="37"/>
        <v>-866.1776250105703</v>
      </c>
      <c r="N51">
        <f t="shared" si="38"/>
        <v>316.31053652725535</v>
      </c>
      <c r="O51">
        <f t="shared" si="39"/>
        <v>-209.9736374944971</v>
      </c>
      <c r="Q51" s="11">
        <v>1</v>
      </c>
      <c r="R51" s="11">
        <f t="shared" si="26"/>
        <v>-0.80598436884550184</v>
      </c>
      <c r="S51" s="11">
        <f t="shared" si="27"/>
        <v>-0.7249279579062311</v>
      </c>
      <c r="T51" s="11">
        <f t="shared" si="40"/>
        <v>-0.12004060424001163</v>
      </c>
      <c r="U51" s="11">
        <f t="shared" si="46"/>
        <v>-20.721255892226093</v>
      </c>
      <c r="V51" s="11">
        <f t="shared" si="48"/>
        <v>-91.670553859658156</v>
      </c>
      <c r="W51" s="11">
        <f t="shared" si="41"/>
        <v>1940.1947278847585</v>
      </c>
      <c r="X51" s="11">
        <f t="shared" si="42"/>
        <v>-1969.97885998535</v>
      </c>
      <c r="Y51" s="11">
        <f t="shared" si="43"/>
        <v>-29.784132100591478</v>
      </c>
      <c r="AC51" s="3">
        <f t="shared" si="28"/>
        <v>0</v>
      </c>
      <c r="AD51" s="3">
        <f t="shared" si="29"/>
        <v>0</v>
      </c>
      <c r="AE51" s="3">
        <f t="shared" si="30"/>
        <v>-0.25411981082845614</v>
      </c>
      <c r="AF51" s="3">
        <f t="shared" si="31"/>
        <v>28.557379487938647</v>
      </c>
      <c r="AG51" s="3">
        <f t="shared" si="32"/>
        <v>228.71678252252815</v>
      </c>
    </row>
    <row r="52" spans="1:33">
      <c r="A52" s="5">
        <v>43909</v>
      </c>
      <c r="B52" s="20">
        <v>2389</v>
      </c>
      <c r="C52" s="20">
        <v>311.25</v>
      </c>
      <c r="D52" s="20">
        <v>55.6491387290612</v>
      </c>
      <c r="E52">
        <f t="shared" si="25"/>
        <v>0.11506849315068493</v>
      </c>
      <c r="F52">
        <f t="shared" si="44"/>
        <v>2.7397260273972603E-3</v>
      </c>
      <c r="G52">
        <f t="shared" si="33"/>
        <v>-0.36396545181321938</v>
      </c>
      <c r="H52">
        <f t="shared" si="34"/>
        <v>-0.55273705326897626</v>
      </c>
      <c r="I52" s="1">
        <f t="shared" si="47"/>
        <v>0.64205809598667574</v>
      </c>
      <c r="J52" s="1">
        <f t="shared" si="45"/>
        <v>0.70977826147848799</v>
      </c>
      <c r="K52">
        <f t="shared" si="35"/>
        <v>-0.64035371898623006</v>
      </c>
      <c r="L52">
        <f t="shared" si="36"/>
        <v>8.2572833137964721E-4</v>
      </c>
      <c r="M52">
        <f t="shared" si="37"/>
        <v>-752.70391398626055</v>
      </c>
      <c r="N52">
        <f t="shared" si="38"/>
        <v>301.77576428713735</v>
      </c>
      <c r="O52">
        <f t="shared" si="39"/>
        <v>-212.18644894275852</v>
      </c>
      <c r="Q52" s="11">
        <v>1</v>
      </c>
      <c r="R52" s="11">
        <f t="shared" si="26"/>
        <v>-0.7325335062878735</v>
      </c>
      <c r="S52" s="11">
        <f t="shared" si="27"/>
        <v>-0.6611047228699104</v>
      </c>
      <c r="T52" s="11">
        <f t="shared" si="40"/>
        <v>-0.11018191048700397</v>
      </c>
      <c r="U52" s="11">
        <f t="shared" si="46"/>
        <v>-22.861580971061819</v>
      </c>
      <c r="V52" s="11">
        <f t="shared" si="48"/>
        <v>-152.47370850177015</v>
      </c>
      <c r="W52" s="11">
        <f t="shared" si="41"/>
        <v>1764.7848713616759</v>
      </c>
      <c r="X52" s="11">
        <f t="shared" si="42"/>
        <v>-1785.1302367683165</v>
      </c>
      <c r="Y52" s="11">
        <f t="shared" si="43"/>
        <v>-20.345365406640667</v>
      </c>
      <c r="AC52" s="3">
        <f t="shared" si="28"/>
        <v>0</v>
      </c>
      <c r="AD52" s="3">
        <f t="shared" si="29"/>
        <v>0</v>
      </c>
      <c r="AE52" s="3">
        <f t="shared" si="30"/>
        <v>5.6576360272657666E-2</v>
      </c>
      <c r="AF52" s="3">
        <f t="shared" si="31"/>
        <v>24.38025102397205</v>
      </c>
      <c r="AG52" s="3">
        <f t="shared" si="32"/>
        <v>203.07905408427939</v>
      </c>
    </row>
    <row r="53" spans="1:33">
      <c r="A53" s="5">
        <v>43910</v>
      </c>
      <c r="B53" s="20">
        <v>2288.5</v>
      </c>
      <c r="C53" s="20">
        <v>350.75</v>
      </c>
      <c r="D53" s="20">
        <v>44.521285529912802</v>
      </c>
      <c r="E53">
        <f t="shared" si="25"/>
        <v>0.11232876712328767</v>
      </c>
      <c r="F53">
        <f t="shared" si="44"/>
        <v>2.7397260273972603E-3</v>
      </c>
      <c r="G53">
        <f t="shared" si="33"/>
        <v>-0.79297837446749386</v>
      </c>
      <c r="H53">
        <f t="shared" si="34"/>
        <v>-0.94219361798226275</v>
      </c>
      <c r="I53" s="1">
        <f t="shared" si="47"/>
        <v>0.78610478879473689</v>
      </c>
      <c r="J53" s="1">
        <f t="shared" si="45"/>
        <v>0.82695323961183509</v>
      </c>
      <c r="K53">
        <f t="shared" si="35"/>
        <v>-0.78406765251422106</v>
      </c>
      <c r="L53">
        <f t="shared" si="36"/>
        <v>8.5089049907811605E-4</v>
      </c>
      <c r="M53">
        <f t="shared" si="37"/>
        <v>-468.7072534121408</v>
      </c>
      <c r="N53">
        <f t="shared" si="38"/>
        <v>222.86106218090848</v>
      </c>
      <c r="O53">
        <f t="shared" si="39"/>
        <v>-241.3339615080755</v>
      </c>
      <c r="Q53" s="11">
        <v>1</v>
      </c>
      <c r="R53" s="11">
        <f t="shared" si="26"/>
        <v>-0.48954065627398907</v>
      </c>
      <c r="S53" s="11">
        <f t="shared" si="27"/>
        <v>-0.45907680891780234</v>
      </c>
      <c r="T53" s="11">
        <f t="shared" si="40"/>
        <v>-9.995839351545184E-2</v>
      </c>
      <c r="U53" s="11">
        <f t="shared" si="46"/>
        <v>-85.229742142369957</v>
      </c>
      <c r="V53" s="11">
        <f t="shared" si="48"/>
        <v>-462.34088107939931</v>
      </c>
      <c r="W53" s="11">
        <f t="shared" si="41"/>
        <v>1217.1466847249144</v>
      </c>
      <c r="X53" s="11">
        <f t="shared" si="42"/>
        <v>-1215.3036623964922</v>
      </c>
      <c r="Y53" s="11">
        <f t="shared" si="43"/>
        <v>1.8430223284221938</v>
      </c>
      <c r="AC53" s="3">
        <f t="shared" si="28"/>
        <v>0</v>
      </c>
      <c r="AD53" s="3">
        <f t="shared" si="29"/>
        <v>0</v>
      </c>
      <c r="AE53" s="3">
        <f t="shared" si="30"/>
        <v>-0.32436322498719505</v>
      </c>
      <c r="AF53" s="3">
        <f t="shared" si="31"/>
        <v>17.424641274728515</v>
      </c>
      <c r="AG53" s="3">
        <f t="shared" si="32"/>
        <v>136.23404328990421</v>
      </c>
    </row>
    <row r="54" spans="1:33">
      <c r="A54" s="5">
        <v>43913</v>
      </c>
      <c r="B54" s="20">
        <v>2220.5</v>
      </c>
      <c r="C54" s="20">
        <v>401</v>
      </c>
      <c r="D54" s="20">
        <v>43.397991019145103</v>
      </c>
      <c r="E54">
        <f t="shared" si="25"/>
        <v>0.10410958904109589</v>
      </c>
      <c r="F54">
        <f t="shared" si="44"/>
        <v>8.21917808219178E-3</v>
      </c>
      <c r="G54">
        <f t="shared" si="33"/>
        <v>-1.0689468171029224</v>
      </c>
      <c r="H54">
        <f t="shared" si="34"/>
        <v>-1.2089748512148006</v>
      </c>
      <c r="I54" s="1">
        <f t="shared" si="47"/>
        <v>0.85745318280825422</v>
      </c>
      <c r="J54" s="1">
        <f t="shared" si="45"/>
        <v>0.88666374634840084</v>
      </c>
      <c r="K54">
        <f t="shared" si="35"/>
        <v>-0.85539354427076963</v>
      </c>
      <c r="L54">
        <f t="shared" si="36"/>
        <v>7.2289819447257837E-4</v>
      </c>
      <c r="M54">
        <f t="shared" si="37"/>
        <v>-364.09226322911439</v>
      </c>
      <c r="N54">
        <f t="shared" si="38"/>
        <v>161.04196194033926</v>
      </c>
      <c r="O54">
        <f t="shared" si="39"/>
        <v>-239.83916106049031</v>
      </c>
      <c r="Q54" s="11">
        <v>1</v>
      </c>
      <c r="R54" s="11">
        <f t="shared" si="26"/>
        <v>-0.3789688234654659</v>
      </c>
      <c r="S54" s="11">
        <f t="shared" si="27"/>
        <v>-0.36339289740546665</v>
      </c>
      <c r="T54" s="11">
        <f t="shared" si="40"/>
        <v>-0.19948850237931495</v>
      </c>
      <c r="U54" s="11">
        <f t="shared" si="46"/>
        <v>-44.339304956217795</v>
      </c>
      <c r="V54" s="11">
        <f t="shared" si="48"/>
        <v>-212.46612551314138</v>
      </c>
      <c r="W54" s="11">
        <f t="shared" si="41"/>
        <v>960.20879403260324</v>
      </c>
      <c r="X54" s="11">
        <f t="shared" si="42"/>
        <v>-953.88042689849055</v>
      </c>
      <c r="Y54" s="11">
        <f t="shared" si="43"/>
        <v>6.3283671341126819</v>
      </c>
      <c r="AC54" s="3">
        <f t="shared" si="28"/>
        <v>0</v>
      </c>
      <c r="AD54" s="3">
        <f t="shared" si="29"/>
        <v>0</v>
      </c>
      <c r="AE54" s="3">
        <f t="shared" si="30"/>
        <v>-0.29051126656403881</v>
      </c>
      <c r="AF54" s="3">
        <f t="shared" si="31"/>
        <v>13.446065998491903</v>
      </c>
      <c r="AG54" s="3">
        <f t="shared" si="32"/>
        <v>99.460626581708325</v>
      </c>
    </row>
    <row r="55" spans="1:33">
      <c r="A55" s="5">
        <v>43914</v>
      </c>
      <c r="B55" s="20">
        <v>2438</v>
      </c>
      <c r="C55" s="20">
        <v>249</v>
      </c>
      <c r="D55" s="20">
        <v>48.4876555267155</v>
      </c>
      <c r="E55">
        <f t="shared" si="25"/>
        <v>0.10136986301369863</v>
      </c>
      <c r="F55">
        <f t="shared" si="44"/>
        <v>2.7397260273972603E-3</v>
      </c>
      <c r="G55">
        <f t="shared" si="33"/>
        <v>-0.35030612826716839</v>
      </c>
      <c r="H55">
        <f t="shared" si="34"/>
        <v>-0.50468420120417501</v>
      </c>
      <c r="I55" s="1">
        <f t="shared" si="47"/>
        <v>0.6369455166972614</v>
      </c>
      <c r="J55" s="1">
        <f t="shared" si="45"/>
        <v>0.69310967035662652</v>
      </c>
      <c r="K55">
        <f t="shared" si="35"/>
        <v>-0.63545576207256083</v>
      </c>
      <c r="L55">
        <f t="shared" si="36"/>
        <v>9.9455017077829436E-4</v>
      </c>
      <c r="M55">
        <f t="shared" si="37"/>
        <v>-718.62835842164725</v>
      </c>
      <c r="N55">
        <f t="shared" si="38"/>
        <v>290.55887418913585</v>
      </c>
      <c r="O55">
        <f t="shared" si="39"/>
        <v>-182.55309590214023</v>
      </c>
      <c r="Q55" s="11">
        <v>1</v>
      </c>
      <c r="R55" s="11">
        <f t="shared" si="26"/>
        <v>-0.66578629184378635</v>
      </c>
      <c r="S55" s="11">
        <f t="shared" si="27"/>
        <v>-0.58950557480294985</v>
      </c>
      <c r="T55" s="11">
        <f t="shared" si="40"/>
        <v>-5.1069319444256342E-2</v>
      </c>
      <c r="U55" s="11">
        <f t="shared" si="46"/>
        <v>71.41754962620179</v>
      </c>
      <c r="V55" s="11">
        <f t="shared" si="48"/>
        <v>551.26270749506398</v>
      </c>
      <c r="W55" s="11">
        <f t="shared" si="41"/>
        <v>1582.8556077466624</v>
      </c>
      <c r="X55" s="11">
        <f t="shared" si="42"/>
        <v>-1577.9953780386945</v>
      </c>
      <c r="Y55" s="11">
        <f t="shared" si="43"/>
        <v>4.8602297079678465</v>
      </c>
      <c r="AC55" s="3">
        <f t="shared" si="28"/>
        <v>0</v>
      </c>
      <c r="AD55" s="3">
        <f t="shared" si="29"/>
        <v>0</v>
      </c>
      <c r="AE55" s="3">
        <f t="shared" si="30"/>
        <v>0.15039624192451129</v>
      </c>
      <c r="AF55" s="3">
        <f t="shared" si="31"/>
        <v>21.936775726449582</v>
      </c>
      <c r="AG55" s="3">
        <f t="shared" si="32"/>
        <v>159.45405025618783</v>
      </c>
    </row>
    <row r="56" spans="1:33">
      <c r="A56" s="5">
        <v>43915</v>
      </c>
      <c r="B56" s="20">
        <v>2467</v>
      </c>
      <c r="C56" s="20">
        <v>240</v>
      </c>
      <c r="D56" s="20">
        <v>52.130663992942601</v>
      </c>
      <c r="E56">
        <f t="shared" si="25"/>
        <v>9.8630136986301367E-2</v>
      </c>
      <c r="F56">
        <f t="shared" si="44"/>
        <v>2.7397260273972603E-3</v>
      </c>
      <c r="G56">
        <f t="shared" si="33"/>
        <v>-0.24874536897053753</v>
      </c>
      <c r="H56">
        <f t="shared" si="34"/>
        <v>-0.4124639887770481</v>
      </c>
      <c r="I56" s="1">
        <f t="shared" si="47"/>
        <v>0.59822112390308857</v>
      </c>
      <c r="J56" s="1">
        <f t="shared" si="45"/>
        <v>0.66000031486940203</v>
      </c>
      <c r="K56">
        <f t="shared" si="35"/>
        <v>-0.59685971459433729</v>
      </c>
      <c r="L56">
        <f t="shared" si="36"/>
        <v>9.554710647391079E-4</v>
      </c>
      <c r="M56">
        <f t="shared" si="37"/>
        <v>-812.67916739903808</v>
      </c>
      <c r="N56">
        <f t="shared" si="38"/>
        <v>298.99142388036472</v>
      </c>
      <c r="O56">
        <f t="shared" si="39"/>
        <v>-169.13758904900476</v>
      </c>
      <c r="Q56" s="11">
        <v>1</v>
      </c>
      <c r="R56" s="11">
        <f t="shared" si="26"/>
        <v>-0.73041670959376614</v>
      </c>
      <c r="S56" s="11">
        <f t="shared" si="27"/>
        <v>-0.63830830553790308</v>
      </c>
      <c r="T56" s="11">
        <f t="shared" si="40"/>
        <v>-9.0960842869405367E-2</v>
      </c>
      <c r="U56" s="11">
        <f t="shared" si="46"/>
        <v>15.511300259995151</v>
      </c>
      <c r="V56" s="11">
        <f t="shared" si="48"/>
        <v>120.39633672312961</v>
      </c>
      <c r="W56" s="11">
        <f t="shared" si="41"/>
        <v>1718.7013393113214</v>
      </c>
      <c r="X56" s="11">
        <f t="shared" si="42"/>
        <v>-1721.7566000645106</v>
      </c>
      <c r="Y56" s="11">
        <f t="shared" si="43"/>
        <v>-3.055260753189259</v>
      </c>
      <c r="AC56" s="3">
        <f t="shared" si="28"/>
        <v>0</v>
      </c>
      <c r="AD56" s="3">
        <f t="shared" si="29"/>
        <v>0</v>
      </c>
      <c r="AE56" s="3">
        <f t="shared" si="30"/>
        <v>-0.15573316508465496</v>
      </c>
      <c r="AF56" s="3">
        <f t="shared" si="31"/>
        <v>25.745981963957774</v>
      </c>
      <c r="AG56" s="3">
        <f t="shared" si="32"/>
        <v>168.51950381048223</v>
      </c>
    </row>
    <row r="57" spans="1:33">
      <c r="A57" s="5">
        <v>43916</v>
      </c>
      <c r="B57" s="20">
        <v>2608</v>
      </c>
      <c r="C57" s="20">
        <v>164.25</v>
      </c>
      <c r="D57" s="20">
        <v>52.391697077647301</v>
      </c>
      <c r="E57">
        <f t="shared" si="25"/>
        <v>9.5890410958904104E-2</v>
      </c>
      <c r="F57">
        <f t="shared" si="44"/>
        <v>2.7397260273972603E-3</v>
      </c>
      <c r="G57">
        <f t="shared" si="33"/>
        <v>9.0361769459790506E-2</v>
      </c>
      <c r="H57">
        <f t="shared" si="34"/>
        <v>-7.1875286332760177E-2</v>
      </c>
      <c r="I57" s="1">
        <f t="shared" si="47"/>
        <v>0.46399986795947162</v>
      </c>
      <c r="J57" s="1">
        <f t="shared" si="45"/>
        <v>0.52864942109037849</v>
      </c>
      <c r="K57">
        <f t="shared" si="35"/>
        <v>-0.4629732139453841</v>
      </c>
      <c r="L57">
        <f t="shared" si="36"/>
        <v>9.3695205706429612E-4</v>
      </c>
      <c r="M57">
        <f t="shared" si="37"/>
        <v>-893.32483487402737</v>
      </c>
      <c r="N57">
        <f t="shared" si="38"/>
        <v>320.16229868559418</v>
      </c>
      <c r="O57">
        <f t="shared" si="39"/>
        <v>-131.71561666567402</v>
      </c>
      <c r="Q57" s="11">
        <v>1</v>
      </c>
      <c r="R57" s="11">
        <f t="shared" si="26"/>
        <v>-0.88736025540742558</v>
      </c>
      <c r="S57" s="11">
        <f t="shared" si="27"/>
        <v>-0.71970281336555897</v>
      </c>
      <c r="T57" s="11">
        <f t="shared" si="40"/>
        <v>-9.9662666617002488E-2</v>
      </c>
      <c r="U57" s="11">
        <f t="shared" si="46"/>
        <v>25.777977399893562</v>
      </c>
      <c r="V57" s="11">
        <f t="shared" si="48"/>
        <v>212.27687641452655</v>
      </c>
      <c r="W57" s="11">
        <f t="shared" si="41"/>
        <v>1956.6880795129941</v>
      </c>
      <c r="X57" s="11">
        <f t="shared" si="42"/>
        <v>-1972.7338592080475</v>
      </c>
      <c r="Y57" s="11">
        <f t="shared" si="43"/>
        <v>-16.045779695053398</v>
      </c>
      <c r="AC57" s="3">
        <f t="shared" si="28"/>
        <v>0</v>
      </c>
      <c r="AD57" s="3">
        <f t="shared" si="29"/>
        <v>0</v>
      </c>
      <c r="AE57" s="3">
        <f t="shared" si="30"/>
        <v>1.1063122370160272E-2</v>
      </c>
      <c r="AF57" s="3">
        <f t="shared" si="31"/>
        <v>30.251247792989147</v>
      </c>
      <c r="AG57" s="3">
        <f t="shared" si="32"/>
        <v>186.61403113070003</v>
      </c>
    </row>
    <row r="58" spans="1:33">
      <c r="A58" s="5">
        <v>43917</v>
      </c>
      <c r="B58" s="20">
        <v>2524</v>
      </c>
      <c r="C58" s="20">
        <v>208</v>
      </c>
      <c r="D58" s="20">
        <v>53.734228771180398</v>
      </c>
      <c r="E58">
        <f t="shared" si="25"/>
        <v>9.3150684931506855E-2</v>
      </c>
      <c r="F58">
        <f t="shared" si="44"/>
        <v>2.7397260273972603E-3</v>
      </c>
      <c r="G58">
        <f t="shared" si="33"/>
        <v>-0.10820823905730033</v>
      </c>
      <c r="H58">
        <f t="shared" si="34"/>
        <v>-0.27220831391156047</v>
      </c>
      <c r="I58" s="1">
        <f t="shared" si="47"/>
        <v>0.54308474524429351</v>
      </c>
      <c r="J58" s="1">
        <f t="shared" si="45"/>
        <v>0.60726907522264506</v>
      </c>
      <c r="K58">
        <f t="shared" si="35"/>
        <v>-0.54191740228830876</v>
      </c>
      <c r="L58">
        <f t="shared" si="36"/>
        <v>9.5609177127936368E-4</v>
      </c>
      <c r="M58">
        <f t="shared" si="37"/>
        <v>-900.35097448631677</v>
      </c>
      <c r="N58">
        <f t="shared" si="38"/>
        <v>304.87046566300353</v>
      </c>
      <c r="O58">
        <f t="shared" si="39"/>
        <v>-146.98381612518048</v>
      </c>
      <c r="Q58" s="11">
        <v>1</v>
      </c>
      <c r="R58" s="11">
        <f t="shared" si="26"/>
        <v>-0.79325678790487686</v>
      </c>
      <c r="S58" s="11">
        <f t="shared" si="27"/>
        <v>-0.67455005535403934</v>
      </c>
      <c r="T58" s="11">
        <f t="shared" si="40"/>
        <v>-0.11879376466906733</v>
      </c>
      <c r="U58" s="11">
        <f t="shared" si="46"/>
        <v>-19.573521240530134</v>
      </c>
      <c r="V58" s="11">
        <f t="shared" si="48"/>
        <v>-113.96556122107556</v>
      </c>
      <c r="W58" s="11">
        <f t="shared" si="41"/>
        <v>1823.0661209044081</v>
      </c>
      <c r="X58" s="11">
        <f t="shared" si="42"/>
        <v>-1837.0617515978097</v>
      </c>
      <c r="Y58" s="11">
        <f t="shared" si="43"/>
        <v>-13.995630693401608</v>
      </c>
      <c r="AC58" s="3">
        <f t="shared" si="28"/>
        <v>0</v>
      </c>
      <c r="AD58" s="3">
        <f t="shared" si="29"/>
        <v>0</v>
      </c>
      <c r="AE58" s="3">
        <f t="shared" si="30"/>
        <v>-8.875504683572899E-2</v>
      </c>
      <c r="AF58" s="3">
        <f t="shared" si="31"/>
        <v>27.688794723295018</v>
      </c>
      <c r="AG58" s="3">
        <f t="shared" si="32"/>
        <v>168.87502729960258</v>
      </c>
    </row>
    <row r="59" spans="1:33">
      <c r="A59" s="5">
        <v>43920</v>
      </c>
      <c r="B59" s="20">
        <v>2611.25</v>
      </c>
      <c r="C59" s="20">
        <v>144.75</v>
      </c>
      <c r="D59" s="20">
        <v>49.694531510160502</v>
      </c>
      <c r="E59">
        <f t="shared" si="25"/>
        <v>8.4931506849315067E-2</v>
      </c>
      <c r="F59">
        <f t="shared" si="44"/>
        <v>8.21917808219178E-3</v>
      </c>
      <c r="G59">
        <f t="shared" si="33"/>
        <v>9.2607238911717252E-2</v>
      </c>
      <c r="H59">
        <f t="shared" si="34"/>
        <v>-5.2217587086200737E-2</v>
      </c>
      <c r="I59" s="1">
        <f t="shared" si="47"/>
        <v>0.46310779632280719</v>
      </c>
      <c r="J59" s="1">
        <f t="shared" si="45"/>
        <v>0.52082234020890028</v>
      </c>
      <c r="K59">
        <f t="shared" si="35"/>
        <v>-0.46220010758657459</v>
      </c>
      <c r="L59">
        <f t="shared" si="36"/>
        <v>1.048345102753972E-3</v>
      </c>
      <c r="M59">
        <f t="shared" si="37"/>
        <v>-901.46199804047876</v>
      </c>
      <c r="N59">
        <f t="shared" si="38"/>
        <v>301.70229015147396</v>
      </c>
      <c r="O59">
        <f t="shared" si="39"/>
        <v>-114.94356177859454</v>
      </c>
      <c r="Q59" s="11">
        <v>1</v>
      </c>
      <c r="R59" s="11">
        <f t="shared" si="26"/>
        <v>-0.85586792606471751</v>
      </c>
      <c r="S59" s="11">
        <f t="shared" si="27"/>
        <v>-0.6809020949760326</v>
      </c>
      <c r="T59" s="11">
        <f t="shared" si="40"/>
        <v>-0.3232846854851717</v>
      </c>
      <c r="U59" s="11">
        <f t="shared" si="46"/>
        <v>9.0629622486369339</v>
      </c>
      <c r="V59" s="11">
        <f t="shared" si="48"/>
        <v>16.586763462929916</v>
      </c>
      <c r="W59" s="11">
        <f t="shared" si="41"/>
        <v>1848.4929581989923</v>
      </c>
      <c r="X59" s="11">
        <f t="shared" si="42"/>
        <v>-1866.892477804033</v>
      </c>
      <c r="Y59" s="11">
        <f t="shared" si="43"/>
        <v>-18.399519605040723</v>
      </c>
      <c r="AC59" s="3">
        <f t="shared" si="28"/>
        <v>0</v>
      </c>
      <c r="AD59" s="3">
        <f t="shared" si="29"/>
        <v>0</v>
      </c>
      <c r="AE59" s="3">
        <f t="shared" si="30"/>
        <v>1.4013166123561405E-2</v>
      </c>
      <c r="AF59" s="3">
        <f t="shared" si="31"/>
        <v>28.656760305861667</v>
      </c>
      <c r="AG59" s="3">
        <f t="shared" si="32"/>
        <v>156.25887910562992</v>
      </c>
    </row>
    <row r="60" spans="1:33">
      <c r="A60" s="5">
        <v>43921</v>
      </c>
      <c r="B60" s="20">
        <v>2569.75</v>
      </c>
      <c r="C60" s="20">
        <v>146.75</v>
      </c>
      <c r="D60" s="20">
        <v>44.399587746762499</v>
      </c>
      <c r="E60">
        <f t="shared" si="25"/>
        <v>8.2191780821917804E-2</v>
      </c>
      <c r="F60">
        <f t="shared" si="44"/>
        <v>2.7397260273972603E-3</v>
      </c>
      <c r="G60">
        <f t="shared" si="33"/>
        <v>-3.8883309461555576E-2</v>
      </c>
      <c r="H60">
        <f t="shared" si="34"/>
        <v>-0.16617297132423839</v>
      </c>
      <c r="I60" s="1">
        <f t="shared" si="47"/>
        <v>0.51550828818717997</v>
      </c>
      <c r="J60" s="1">
        <f t="shared" si="45"/>
        <v>0.5659895852719542</v>
      </c>
      <c r="K60">
        <f t="shared" si="35"/>
        <v>-0.51453045717881241</v>
      </c>
      <c r="L60">
        <f t="shared" si="36"/>
        <v>1.2163909665423923E-3</v>
      </c>
      <c r="M60">
        <f t="shared" si="37"/>
        <v>-812.4294644462027</v>
      </c>
      <c r="N60">
        <f t="shared" si="38"/>
        <v>293.13134696168021</v>
      </c>
      <c r="O60">
        <f t="shared" si="39"/>
        <v>-120.88461137775123</v>
      </c>
      <c r="Q60" s="11">
        <v>1</v>
      </c>
      <c r="R60" s="11">
        <f t="shared" si="26"/>
        <v>-0.73389123382424581</v>
      </c>
      <c r="S60" s="11">
        <f t="shared" si="27"/>
        <v>-0.59260821974998301</v>
      </c>
      <c r="T60" s="11">
        <f t="shared" si="40"/>
        <v>-0.11252939440285008</v>
      </c>
      <c r="U60" s="11">
        <f t="shared" si="46"/>
        <v>-17.90007958628922</v>
      </c>
      <c r="V60" s="11">
        <f t="shared" si="48"/>
        <v>-226.89318586214094</v>
      </c>
      <c r="W60" s="11">
        <f t="shared" si="41"/>
        <v>1603.6210949081878</v>
      </c>
      <c r="X60" s="11">
        <f t="shared" si="42"/>
        <v>-1615.8035112662269</v>
      </c>
      <c r="Y60" s="11">
        <f t="shared" si="43"/>
        <v>-12.182416358039063</v>
      </c>
      <c r="AC60" s="3">
        <f t="shared" si="28"/>
        <v>0</v>
      </c>
      <c r="AD60" s="3">
        <f t="shared" si="29"/>
        <v>0</v>
      </c>
      <c r="AE60" s="3">
        <f t="shared" si="30"/>
        <v>-3.4953020067035823E-2</v>
      </c>
      <c r="AF60" s="3">
        <f t="shared" si="31"/>
        <v>24.68614449728409</v>
      </c>
      <c r="AG60" s="3">
        <f t="shared" si="32"/>
        <v>130.96657805531808</v>
      </c>
    </row>
    <row r="61" spans="1:33">
      <c r="A61" s="5">
        <v>43922</v>
      </c>
      <c r="B61" s="20">
        <v>2448</v>
      </c>
      <c r="C61" s="20">
        <v>218.25</v>
      </c>
      <c r="D61" s="20">
        <v>45.258286687591998</v>
      </c>
      <c r="E61">
        <f t="shared" si="25"/>
        <v>7.9452054794520555E-2</v>
      </c>
      <c r="F61">
        <f t="shared" si="44"/>
        <v>2.7397260273972603E-3</v>
      </c>
      <c r="G61">
        <f t="shared" si="33"/>
        <v>-0.41863840582605272</v>
      </c>
      <c r="H61">
        <f t="shared" si="34"/>
        <v>-0.54620902865528731</v>
      </c>
      <c r="I61" s="1">
        <f t="shared" si="47"/>
        <v>0.66225979154470827</v>
      </c>
      <c r="J61" s="1">
        <f t="shared" si="45"/>
        <v>0.70753886969442059</v>
      </c>
      <c r="K61">
        <f t="shared" si="35"/>
        <v>-0.66104543274893734</v>
      </c>
      <c r="L61">
        <f t="shared" si="36"/>
        <v>1.1681378099914091E-3</v>
      </c>
      <c r="M61">
        <f t="shared" si="37"/>
        <v>-742.00308540563799</v>
      </c>
      <c r="N61">
        <f t="shared" si="38"/>
        <v>251.72140714107564</v>
      </c>
      <c r="O61">
        <f t="shared" si="39"/>
        <v>-146.0822998027746</v>
      </c>
      <c r="Q61" s="11">
        <v>1</v>
      </c>
      <c r="R61" s="11">
        <f t="shared" si="26"/>
        <v>-0.55304208675988242</v>
      </c>
      <c r="S61" s="11">
        <f t="shared" si="27"/>
        <v>-0.48698468413466334</v>
      </c>
      <c r="T61" s="11">
        <f t="shared" si="40"/>
        <v>-9.6380994680052484E-2</v>
      </c>
      <c r="U61" s="11">
        <f t="shared" si="46"/>
        <v>-39.470326346797307</v>
      </c>
      <c r="V61" s="11">
        <f t="shared" si="48"/>
        <v>-258.56641518630255</v>
      </c>
      <c r="W61" s="11">
        <f t="shared" si="41"/>
        <v>1305.5174089830061</v>
      </c>
      <c r="X61" s="11">
        <f t="shared" si="42"/>
        <v>-1306.3399421970003</v>
      </c>
      <c r="Y61" s="11">
        <f t="shared" si="43"/>
        <v>-0.82253321399412016</v>
      </c>
      <c r="AC61" s="3">
        <f t="shared" si="28"/>
        <v>0</v>
      </c>
      <c r="AD61" s="3">
        <f t="shared" si="29"/>
        <v>0</v>
      </c>
      <c r="AE61" s="3">
        <f t="shared" si="30"/>
        <v>-0.12503036028010683</v>
      </c>
      <c r="AF61" s="3">
        <f t="shared" si="31"/>
        <v>19.565057374215996</v>
      </c>
      <c r="AG61" s="3">
        <f t="shared" si="32"/>
        <v>102.96505705570939</v>
      </c>
    </row>
    <row r="62" spans="1:33">
      <c r="A62" s="5">
        <v>43923</v>
      </c>
      <c r="B62" s="20">
        <v>2516.5</v>
      </c>
      <c r="C62" s="20">
        <v>164</v>
      </c>
      <c r="D62" s="20">
        <v>41.655135838383202</v>
      </c>
      <c r="E62">
        <f t="shared" si="25"/>
        <v>7.6712328767123292E-2</v>
      </c>
      <c r="F62">
        <f t="shared" si="44"/>
        <v>2.7397260273972603E-3</v>
      </c>
      <c r="G62">
        <f t="shared" si="33"/>
        <v>-0.2361497054566041</v>
      </c>
      <c r="H62">
        <f t="shared" si="34"/>
        <v>-0.35152189598532846</v>
      </c>
      <c r="I62" s="1">
        <f t="shared" si="47"/>
        <v>0.5933417474780871</v>
      </c>
      <c r="J62" s="1">
        <f t="shared" si="45"/>
        <v>0.63740157566385891</v>
      </c>
      <c r="K62">
        <f t="shared" si="35"/>
        <v>-0.59229124443905001</v>
      </c>
      <c r="L62">
        <f t="shared" si="36"/>
        <v>1.3339293169683675E-3</v>
      </c>
      <c r="M62">
        <f t="shared" si="37"/>
        <v>-756.21431278292403</v>
      </c>
      <c r="N62">
        <f t="shared" si="38"/>
        <v>269.9357519171441</v>
      </c>
      <c r="O62">
        <f t="shared" si="39"/>
        <v>-127.06572890580189</v>
      </c>
      <c r="Q62" s="11">
        <v>1</v>
      </c>
      <c r="R62" s="11">
        <f t="shared" si="26"/>
        <v>-0.58482845828382979</v>
      </c>
      <c r="S62" s="11">
        <f t="shared" si="27"/>
        <v>-0.49006350326755177</v>
      </c>
      <c r="T62" s="11">
        <f t="shared" si="40"/>
        <v>-7.5450057384109037E-2</v>
      </c>
      <c r="U62" s="11">
        <f t="shared" si="46"/>
        <v>5.2129649299273684</v>
      </c>
      <c r="V62" s="11">
        <f t="shared" si="48"/>
        <v>7.7478483479137417</v>
      </c>
      <c r="W62" s="11">
        <f t="shared" si="41"/>
        <v>1318.4267367155758</v>
      </c>
      <c r="X62" s="11">
        <f t="shared" si="42"/>
        <v>-1322.4066731313421</v>
      </c>
      <c r="Y62" s="11">
        <f t="shared" si="43"/>
        <v>-3.9799364157663604</v>
      </c>
      <c r="AC62" s="3">
        <f t="shared" si="28"/>
        <v>0</v>
      </c>
      <c r="AD62" s="3">
        <f t="shared" si="29"/>
        <v>0</v>
      </c>
      <c r="AE62" s="3">
        <f t="shared" si="30"/>
        <v>-7.6329906763589861E-2</v>
      </c>
      <c r="AF62" s="3">
        <f t="shared" si="31"/>
        <v>20.125826558981657</v>
      </c>
      <c r="AG62" s="3">
        <f t="shared" si="32"/>
        <v>100.45455016680673</v>
      </c>
    </row>
    <row r="63" spans="1:33">
      <c r="A63" s="5">
        <v>43924</v>
      </c>
      <c r="B63" s="20">
        <v>2482.75</v>
      </c>
      <c r="C63" s="20">
        <v>169.75</v>
      </c>
      <c r="D63" s="20">
        <v>36.482946114109701</v>
      </c>
      <c r="E63">
        <f t="shared" si="25"/>
        <v>7.3972602739726029E-2</v>
      </c>
      <c r="F63">
        <f t="shared" si="44"/>
        <v>2.7397260273972603E-3</v>
      </c>
      <c r="G63">
        <f t="shared" si="33"/>
        <v>-0.42765903456702059</v>
      </c>
      <c r="H63">
        <f t="shared" si="34"/>
        <v>-0.5268850042171157</v>
      </c>
      <c r="I63" s="1">
        <f t="shared" si="47"/>
        <v>0.66555031053630742</v>
      </c>
      <c r="J63" s="1">
        <f t="shared" si="45"/>
        <v>0.70086327596963394</v>
      </c>
      <c r="K63">
        <f t="shared" si="35"/>
        <v>-0.66441401115876697</v>
      </c>
      <c r="L63">
        <f t="shared" si="36"/>
        <v>1.4753500240383029E-3</v>
      </c>
      <c r="M63">
        <f t="shared" si="37"/>
        <v>-631.11880367513595</v>
      </c>
      <c r="N63">
        <f t="shared" si="38"/>
        <v>245.42672415703967</v>
      </c>
      <c r="O63">
        <f t="shared" si="39"/>
        <v>-134.72937914429122</v>
      </c>
      <c r="Q63" s="11">
        <v>1</v>
      </c>
      <c r="R63" s="11">
        <f t="shared" si="26"/>
        <v>-0.41770807799017595</v>
      </c>
      <c r="S63" s="11">
        <f t="shared" si="27"/>
        <v>-0.35974357852536964</v>
      </c>
      <c r="T63" s="11">
        <f t="shared" si="40"/>
        <v>-7.8051661658056729E-2</v>
      </c>
      <c r="U63" s="11">
        <f t="shared" si="46"/>
        <v>-28.368684554847739</v>
      </c>
      <c r="V63" s="11">
        <f t="shared" si="48"/>
        <v>-323.55179315365268</v>
      </c>
      <c r="W63" s="11">
        <f t="shared" si="41"/>
        <v>966.45240882544681</v>
      </c>
      <c r="X63" s="11">
        <f t="shared" si="42"/>
        <v>-960.55931582269386</v>
      </c>
      <c r="Y63" s="11">
        <f t="shared" si="43"/>
        <v>5.8930930027529485</v>
      </c>
      <c r="AC63" s="3">
        <f t="shared" si="28"/>
        <v>0</v>
      </c>
      <c r="AD63" s="3">
        <f t="shared" si="29"/>
        <v>0</v>
      </c>
      <c r="AE63" s="3">
        <f t="shared" si="30"/>
        <v>-8.4069393873221543E-2</v>
      </c>
      <c r="AF63" s="3">
        <f t="shared" si="31"/>
        <v>14.640867326413797</v>
      </c>
      <c r="AG63" s="3">
        <f t="shared" si="32"/>
        <v>70.702857548539299</v>
      </c>
    </row>
    <row r="64" spans="1:33">
      <c r="A64" s="5">
        <v>43927</v>
      </c>
      <c r="B64" s="20">
        <v>2644.5</v>
      </c>
      <c r="C64" s="20">
        <v>91.25</v>
      </c>
      <c r="D64" s="20">
        <v>41.828285447953199</v>
      </c>
      <c r="E64">
        <f t="shared" si="25"/>
        <v>6.575342465753424E-2</v>
      </c>
      <c r="F64">
        <f t="shared" si="44"/>
        <v>8.21917808219178E-3</v>
      </c>
      <c r="G64">
        <f t="shared" si="33"/>
        <v>0.2017971615521143</v>
      </c>
      <c r="H64">
        <f t="shared" si="34"/>
        <v>9.4539270921320306E-2</v>
      </c>
      <c r="I64" s="1">
        <f t="shared" si="47"/>
        <v>0.42003765032767892</v>
      </c>
      <c r="J64" s="1">
        <f t="shared" si="45"/>
        <v>0.46234039421970774</v>
      </c>
      <c r="K64">
        <f t="shared" si="35"/>
        <v>-0.4194001376972567</v>
      </c>
      <c r="L64">
        <f t="shared" si="36"/>
        <v>1.3760521734197783E-3</v>
      </c>
      <c r="M64">
        <f t="shared" si="37"/>
        <v>-859.41494417054048</v>
      </c>
      <c r="N64">
        <f t="shared" si="38"/>
        <v>264.67351415572529</v>
      </c>
      <c r="O64">
        <f t="shared" si="39"/>
        <v>-79.006393349143693</v>
      </c>
      <c r="Q64" s="11">
        <v>1</v>
      </c>
      <c r="R64" s="11">
        <f t="shared" si="26"/>
        <v>-0.80523149277894446</v>
      </c>
      <c r="S64" s="11">
        <f t="shared" si="27"/>
        <v>-0.58406188646933499</v>
      </c>
      <c r="T64" s="11">
        <f t="shared" si="40"/>
        <v>-0.16959288964346111</v>
      </c>
      <c r="U64" s="11">
        <f t="shared" si="46"/>
        <v>35.361511599475129</v>
      </c>
      <c r="V64" s="11">
        <f t="shared" si="48"/>
        <v>593.20976535781631</v>
      </c>
      <c r="W64" s="11">
        <f t="shared" si="41"/>
        <v>1594.9073154363798</v>
      </c>
      <c r="X64" s="11">
        <f t="shared" si="42"/>
        <v>-1600.5290324842351</v>
      </c>
      <c r="Y64" s="11">
        <f t="shared" si="43"/>
        <v>-5.6217170478553271</v>
      </c>
      <c r="AC64" s="3">
        <f t="shared" si="28"/>
        <v>0</v>
      </c>
      <c r="AD64" s="3">
        <f t="shared" si="29"/>
        <v>0</v>
      </c>
      <c r="AE64" s="3">
        <f t="shared" si="30"/>
        <v>0.52983620492798877</v>
      </c>
      <c r="AF64" s="3">
        <f t="shared" si="31"/>
        <v>21.721732589814451</v>
      </c>
      <c r="AG64" s="3">
        <f t="shared" si="32"/>
        <v>103.81493990761855</v>
      </c>
    </row>
    <row r="65" spans="1:33">
      <c r="A65" s="5">
        <v>43928</v>
      </c>
      <c r="B65" s="20">
        <v>2642</v>
      </c>
      <c r="C65" s="20">
        <v>97</v>
      </c>
      <c r="D65" s="20">
        <v>44.543053517473801</v>
      </c>
      <c r="E65">
        <f t="shared" si="25"/>
        <v>6.3013698630136991E-2</v>
      </c>
      <c r="F65">
        <f t="shared" si="44"/>
        <v>2.7397260273972603E-3</v>
      </c>
      <c r="G65">
        <f t="shared" si="33"/>
        <v>0.18998064471657608</v>
      </c>
      <c r="H65">
        <f t="shared" si="34"/>
        <v>7.816631331078569E-2</v>
      </c>
      <c r="I65" s="1">
        <f t="shared" si="47"/>
        <v>0.42466214879476771</v>
      </c>
      <c r="J65" s="1">
        <f t="shared" si="45"/>
        <v>0.468847879043092</v>
      </c>
      <c r="K65">
        <f t="shared" si="35"/>
        <v>-0.42404445326318463</v>
      </c>
      <c r="L65">
        <f t="shared" si="36"/>
        <v>1.3243726295327615E-3</v>
      </c>
      <c r="M65">
        <f t="shared" si="37"/>
        <v>-934.79262882868284</v>
      </c>
      <c r="N65">
        <f t="shared" si="38"/>
        <v>259.47216786600688</v>
      </c>
      <c r="O65">
        <f t="shared" si="39"/>
        <v>-76.78155789221799</v>
      </c>
      <c r="Q65" s="11">
        <v>1</v>
      </c>
      <c r="R65" s="11">
        <f t="shared" si="26"/>
        <v>-0.81754740512384927</v>
      </c>
      <c r="S65" s="11">
        <f t="shared" si="27"/>
        <v>-0.60020782118185334</v>
      </c>
      <c r="T65" s="11">
        <f t="shared" si="40"/>
        <v>-9.7754170866722404E-2</v>
      </c>
      <c r="U65" s="11">
        <f t="shared" si="46"/>
        <v>1.1946434974557667</v>
      </c>
      <c r="V65" s="11">
        <f t="shared" si="48"/>
        <v>42.657559510473483</v>
      </c>
      <c r="W65" s="11">
        <f t="shared" si="41"/>
        <v>1638.6910409230038</v>
      </c>
      <c r="X65" s="11">
        <f t="shared" si="42"/>
        <v>-1644.5511618594699</v>
      </c>
      <c r="Y65" s="11">
        <f t="shared" si="43"/>
        <v>-5.8601209364660463</v>
      </c>
      <c r="AC65" s="3">
        <f t="shared" si="28"/>
        <v>0</v>
      </c>
      <c r="AD65" s="3">
        <f t="shared" si="29"/>
        <v>0</v>
      </c>
      <c r="AE65" s="3">
        <f t="shared" si="30"/>
        <v>4.1417765292294462E-2</v>
      </c>
      <c r="AF65" s="3">
        <f t="shared" si="31"/>
        <v>25.460592586879557</v>
      </c>
      <c r="AG65" s="3">
        <f t="shared" si="32"/>
        <v>102.26152189823993</v>
      </c>
    </row>
    <row r="66" spans="1:33">
      <c r="A66" s="5">
        <v>43929</v>
      </c>
      <c r="B66" s="20">
        <v>2735</v>
      </c>
      <c r="C66" s="20">
        <v>61.25</v>
      </c>
      <c r="D66" s="20">
        <v>44.643689116872601</v>
      </c>
      <c r="E66">
        <f t="shared" si="25"/>
        <v>6.0273972602739728E-2</v>
      </c>
      <c r="F66">
        <f>(A66-A65)/365</f>
        <v>2.7397260273972603E-3</v>
      </c>
      <c r="G66">
        <f t="shared" si="33"/>
        <v>0.5076289077771946</v>
      </c>
      <c r="H66">
        <f>G66-$D66/100*SQRT($E66)</f>
        <v>0.39802526630783253</v>
      </c>
      <c r="I66" s="1">
        <f t="shared" si="47"/>
        <v>0.30585680685901395</v>
      </c>
      <c r="J66" s="1">
        <f t="shared" si="45"/>
        <v>0.34530578066553064</v>
      </c>
      <c r="K66">
        <f t="shared" si="35"/>
        <v>-0.30543124995451176</v>
      </c>
      <c r="L66">
        <f t="shared" si="36"/>
        <v>1.1683340299698444E-3</v>
      </c>
      <c r="M66">
        <f t="shared" si="37"/>
        <v>-884.1910132398674</v>
      </c>
      <c r="N66">
        <f t="shared" si="38"/>
        <v>235.16440111528433</v>
      </c>
      <c r="O66">
        <f t="shared" si="39"/>
        <v>-54.091824408262767</v>
      </c>
      <c r="Q66" s="11">
        <v>1</v>
      </c>
      <c r="R66" s="11">
        <f t="shared" si="26"/>
        <v>-1.0647993174472441</v>
      </c>
      <c r="S66" s="11">
        <f t="shared" si="27"/>
        <v>-0.68353118220051146</v>
      </c>
      <c r="T66" s="11">
        <f t="shared" si="40"/>
        <v>-0.10036154118332251</v>
      </c>
      <c r="U66" s="11">
        <f>-(R66-R65)*C66</f>
        <v>15.144179629807933</v>
      </c>
      <c r="V66" s="11">
        <f>-(S66-S65)*B66</f>
        <v>227.88939238602995</v>
      </c>
      <c r="W66" s="11">
        <f t="shared" si="41"/>
        <v>1881.6543317558587</v>
      </c>
      <c r="X66" s="11">
        <f t="shared" si="42"/>
        <v>-1893.9267415120426</v>
      </c>
      <c r="Y66" s="11">
        <f>W66+X66</f>
        <v>-12.272409756183833</v>
      </c>
      <c r="AC66" s="3">
        <f t="shared" si="28"/>
        <v>0</v>
      </c>
      <c r="AD66" s="3">
        <f t="shared" si="29"/>
        <v>0</v>
      </c>
      <c r="AE66" s="3">
        <f t="shared" si="30"/>
        <v>0.16593527129157337</v>
      </c>
      <c r="AF66" s="3">
        <f t="shared" si="31"/>
        <v>29.448046495435619</v>
      </c>
      <c r="AG66" s="3">
        <f t="shared" si="32"/>
        <v>112.45991032464492</v>
      </c>
    </row>
    <row r="67" spans="1:33">
      <c r="A67" s="5">
        <v>43930</v>
      </c>
      <c r="B67" s="20">
        <v>2779.75</v>
      </c>
      <c r="C67" s="20">
        <v>48.25</v>
      </c>
      <c r="D67" s="20">
        <v>45.4149240375869</v>
      </c>
      <c r="E67">
        <f t="shared" si="25"/>
        <v>5.7534246575342465E-2</v>
      </c>
      <c r="F67">
        <f>(A67-A66)/365</f>
        <v>2.7397260273972603E-3</v>
      </c>
      <c r="G67">
        <f t="shared" si="33"/>
        <v>0.65947751938537735</v>
      </c>
      <c r="H67">
        <f>G67-$D67/100*SQRT($E67)</f>
        <v>0.55054393168464932</v>
      </c>
      <c r="I67" s="1">
        <f t="shared" si="47"/>
        <v>0.25479458868957094</v>
      </c>
      <c r="J67" s="1">
        <f t="shared" si="45"/>
        <v>0.29097317666854416</v>
      </c>
      <c r="K67">
        <f t="shared" si="35"/>
        <v>-0.25445618113877527</v>
      </c>
      <c r="L67">
        <f t="shared" si="36"/>
        <v>1.0585848832599637E-3</v>
      </c>
      <c r="M67">
        <f t="shared" si="37"/>
        <v>-854.80982080941578</v>
      </c>
      <c r="N67">
        <f t="shared" si="38"/>
        <v>213.72837712823832</v>
      </c>
      <c r="O67">
        <f t="shared" si="39"/>
        <v>-43.509623183709905</v>
      </c>
      <c r="Q67" s="11">
        <v>1</v>
      </c>
      <c r="R67" s="11">
        <f t="shared" si="26"/>
        <v>-1.2133625124754621</v>
      </c>
      <c r="S67" s="11">
        <f t="shared" si="27"/>
        <v>-0.72301591206554772</v>
      </c>
      <c r="T67" s="11">
        <f t="shared" si="40"/>
        <v>-0.11831737355057413</v>
      </c>
      <c r="U67" s="11">
        <f>-(R67-R66)*C67</f>
        <v>7.1681741601115192</v>
      </c>
      <c r="V67" s="11">
        <f>-(S67-S66)*B67</f>
        <v>109.75767784233454</v>
      </c>
      <c r="W67" s="11">
        <f t="shared" si="41"/>
        <v>1998.4964066579935</v>
      </c>
      <c r="X67" s="11">
        <f t="shared" si="42"/>
        <v>-2010.8482227911475</v>
      </c>
      <c r="Y67" s="11">
        <f>W67+X67</f>
        <v>-12.351816133153989</v>
      </c>
      <c r="AC67" s="3">
        <f t="shared" si="28"/>
        <v>0</v>
      </c>
      <c r="AD67" s="3">
        <f t="shared" si="29"/>
        <v>0</v>
      </c>
      <c r="AE67" s="3">
        <f t="shared" si="30"/>
        <v>0.23657252353268632</v>
      </c>
      <c r="AF67" s="3">
        <f t="shared" si="31"/>
        <v>31.267707075796466</v>
      </c>
      <c r="AG67" s="3">
        <f t="shared" si="32"/>
        <v>114.07039479800306</v>
      </c>
    </row>
    <row r="68" spans="1:33">
      <c r="A68" s="3"/>
      <c r="B68" s="3"/>
      <c r="C68" s="4"/>
      <c r="D68" s="3"/>
    </row>
    <row r="69" spans="1:33">
      <c r="A69" t="s">
        <v>12</v>
      </c>
      <c r="B69">
        <v>2950</v>
      </c>
      <c r="C69" s="4"/>
      <c r="D69" s="2" t="s">
        <v>51</v>
      </c>
      <c r="E69" s="5">
        <v>44012</v>
      </c>
    </row>
    <row r="70" spans="1:33">
      <c r="A70" t="s">
        <v>20</v>
      </c>
      <c r="B70" s="6">
        <v>2.3099999999999999E-2</v>
      </c>
      <c r="C70" s="4"/>
      <c r="D70" s="2"/>
      <c r="U70" t="s">
        <v>46</v>
      </c>
    </row>
    <row r="71" spans="1:33">
      <c r="A71" t="s">
        <v>21</v>
      </c>
      <c r="B71" s="6">
        <v>6.7000000000000002E-3</v>
      </c>
      <c r="C71" s="4"/>
      <c r="D71" s="2"/>
      <c r="E71" s="5"/>
      <c r="U71" t="s">
        <v>47</v>
      </c>
    </row>
    <row r="72" spans="1:33" ht="21">
      <c r="A72" s="25" t="s">
        <v>55</v>
      </c>
      <c r="B72" s="27" t="s">
        <v>62</v>
      </c>
      <c r="C72" s="27"/>
      <c r="D72" s="27"/>
      <c r="E72" s="27"/>
      <c r="F72" s="27" t="s">
        <v>64</v>
      </c>
      <c r="G72" s="23"/>
      <c r="Q72" s="7" t="s">
        <v>53</v>
      </c>
      <c r="T72" t="s">
        <v>45</v>
      </c>
      <c r="U72" t="s">
        <v>65</v>
      </c>
      <c r="AC72" s="45" t="s">
        <v>54</v>
      </c>
      <c r="AD72" s="45"/>
      <c r="AE72" s="45"/>
      <c r="AF72" s="45"/>
      <c r="AG72" s="45"/>
    </row>
    <row r="73" spans="1:33">
      <c r="C73" s="45" t="s">
        <v>32</v>
      </c>
      <c r="D73" s="45"/>
      <c r="G73" s="45" t="s">
        <v>33</v>
      </c>
      <c r="H73" s="45"/>
      <c r="I73" s="45"/>
      <c r="J73" s="45"/>
      <c r="K73" s="45"/>
      <c r="L73" s="45"/>
      <c r="M73" s="45"/>
      <c r="N73" s="45"/>
      <c r="O73" s="45"/>
      <c r="Q73" s="47" t="s">
        <v>41</v>
      </c>
      <c r="R73" s="47"/>
      <c r="S73" s="47"/>
      <c r="T73" s="47"/>
      <c r="U73" s="14"/>
      <c r="V73" s="14"/>
      <c r="W73" s="14"/>
      <c r="X73" s="14"/>
      <c r="Y73" s="14"/>
      <c r="Z73" s="14"/>
      <c r="AA73" s="14"/>
    </row>
    <row r="74" spans="1:33">
      <c r="A74" s="3" t="s">
        <v>10</v>
      </c>
      <c r="B74" s="2" t="s">
        <v>14</v>
      </c>
      <c r="C74" s="2" t="s">
        <v>13</v>
      </c>
      <c r="D74" s="2" t="s">
        <v>11</v>
      </c>
      <c r="E74" t="s">
        <v>15</v>
      </c>
      <c r="F74" s="2" t="s">
        <v>17</v>
      </c>
      <c r="G74" s="2" t="s">
        <v>0</v>
      </c>
      <c r="H74" s="2" t="s">
        <v>2</v>
      </c>
      <c r="I74" s="2" t="s">
        <v>8</v>
      </c>
      <c r="J74" s="2" t="s">
        <v>9</v>
      </c>
      <c r="K74" s="2" t="s">
        <v>4</v>
      </c>
      <c r="L74" s="2" t="s">
        <v>18</v>
      </c>
      <c r="M74" s="2" t="s">
        <v>19</v>
      </c>
      <c r="N74" s="2" t="s">
        <v>5</v>
      </c>
      <c r="O74" s="2" t="s">
        <v>6</v>
      </c>
      <c r="Q74" s="14" t="s">
        <v>22</v>
      </c>
      <c r="R74" s="14" t="s">
        <v>44</v>
      </c>
      <c r="S74" s="14" t="s">
        <v>43</v>
      </c>
      <c r="T74" s="14" t="s">
        <v>34</v>
      </c>
      <c r="U74" s="14" t="s">
        <v>24</v>
      </c>
      <c r="V74" s="14" t="s">
        <v>49</v>
      </c>
      <c r="W74" s="14" t="s">
        <v>50</v>
      </c>
      <c r="X74" s="14" t="s">
        <v>38</v>
      </c>
      <c r="Y74" s="14" t="s">
        <v>39</v>
      </c>
      <c r="Z74" s="14" t="s">
        <v>40</v>
      </c>
      <c r="AA74" s="15" t="s">
        <v>27</v>
      </c>
      <c r="AC74" t="s">
        <v>4</v>
      </c>
      <c r="AD74" t="s">
        <v>7</v>
      </c>
      <c r="AE74" t="s">
        <v>5</v>
      </c>
      <c r="AF74" t="s">
        <v>48</v>
      </c>
      <c r="AG74" t="s">
        <v>6</v>
      </c>
    </row>
    <row r="75" spans="1:33">
      <c r="A75" s="5">
        <v>43899</v>
      </c>
      <c r="B75" s="20">
        <v>2735.25</v>
      </c>
      <c r="C75" s="21">
        <v>296.5</v>
      </c>
      <c r="D75" s="21">
        <v>39.331119530000002</v>
      </c>
      <c r="E75">
        <f>($E$69-A75)/365</f>
        <v>0.30958904109589042</v>
      </c>
      <c r="G75">
        <f>(LN($B75/$B$69)+($B$71-$B$70+1/2*($D75/100)^2)*$E75)/($D75/100*SQRT($E75))</f>
        <v>-0.25915528397707738</v>
      </c>
      <c r="H75">
        <f>G75-$D75/100*SQRT($E75)</f>
        <v>-0.47799648922886173</v>
      </c>
      <c r="I75" s="1">
        <f>_xlfn.NORM.S.DIST(-$G75,TRUE)</f>
        <v>0.60224228453983608</v>
      </c>
      <c r="J75" s="1">
        <f>_xlfn.NORM.S.DIST(-$H75,TRUE)</f>
        <v>0.68367364808994657</v>
      </c>
      <c r="K75">
        <f>-EXP(-$B$70*$E75)*I75</f>
        <v>-0.5979507086249759</v>
      </c>
      <c r="L75">
        <f>(1/SQRT(2*PI()))*EXP(-(G75^2)/2)/(B75*D75/100*SQRT(E75))*EXP(-$B$70*E75)</f>
        <v>6.3987354525491457E-4</v>
      </c>
      <c r="M75">
        <f>-(1/SQRT(2*PI()))*EXP(-(G75^2)/2)*B75*D75/100*EXP(-$B$70*E75)/(2*SQRT(E75))-($B$70*EXP(-$B$70*E75)*B75*I75)+($B$71*$B$69*EXP(-$B$71*E75)*J75)</f>
        <v>-394.57676225747588</v>
      </c>
      <c r="N75">
        <f>(1/SQRT(2*PI()))*EXP(-(G75^2)/2)*B75*EXP(-$B$70*E75)*SQRT(E75)</f>
        <v>582.92152993134493</v>
      </c>
      <c r="O75">
        <f>-E75*EXP(-$B$71*E75)*$B$69*J75</f>
        <v>-623.09691593919581</v>
      </c>
      <c r="Q75" s="14">
        <v>1</v>
      </c>
      <c r="R75" s="14">
        <v>-1.051963447672188</v>
      </c>
      <c r="S75" s="14">
        <v>7.4623119896148496E-4</v>
      </c>
      <c r="T75" s="14">
        <f t="shared" ref="T75:T98" si="49">-(K13+R75*K44+S75*K75)</f>
        <v>-0.81574904882100829</v>
      </c>
      <c r="U75" s="14"/>
      <c r="V75" s="14"/>
      <c r="W75" s="14"/>
      <c r="X75" s="14"/>
      <c r="Y75" s="14">
        <f>-(Q75*C13+R75*C44+T75*B75+S75*C75)</f>
        <v>2253.7532657397687</v>
      </c>
      <c r="Z75" s="14">
        <f t="shared" ref="Z75:Z98" si="50">Q75*C13+R75*C44+B75*T75+C75*S75</f>
        <v>-2253.7532657397687</v>
      </c>
      <c r="AA75" s="14">
        <f t="shared" ref="AA75:AA98" si="51">Y75+Z75</f>
        <v>0</v>
      </c>
      <c r="AC75">
        <f t="shared" ref="AC75:AC98" si="52">Q75*K13+R75*K44+S75*K75+T75</f>
        <v>0</v>
      </c>
      <c r="AD75">
        <f t="shared" ref="AD75:AD98" si="53">Q75*L13+R75*L44+S75*L75</f>
        <v>1.5611939216161655E-11</v>
      </c>
      <c r="AE75">
        <f t="shared" ref="AE75:AE98" si="54">Q75*N13+R75*N44+S75*N75</f>
        <v>1.3300471835009375E-13</v>
      </c>
      <c r="AF75">
        <f t="shared" ref="AF75:AF98" si="55">Q75*M13+R75*M44+S75*M75</f>
        <v>37.400928994963188</v>
      </c>
      <c r="AG75">
        <f t="shared" ref="AG75:AG98" si="56">Q75*O13+R75*O44+S75*O75</f>
        <v>317.43715695779258</v>
      </c>
    </row>
    <row r="76" spans="1:33">
      <c r="A76" s="5">
        <v>43900</v>
      </c>
      <c r="B76" s="20">
        <v>2854.25</v>
      </c>
      <c r="C76" s="21">
        <v>213.5</v>
      </c>
      <c r="D76" s="21">
        <v>37.322587370000001</v>
      </c>
      <c r="E76">
        <f t="shared" ref="E76:E96" si="57">($E$69-A76)/365</f>
        <v>0.30684931506849317</v>
      </c>
      <c r="F76">
        <f>(A76-A75)/365</f>
        <v>2.7397260273972603E-3</v>
      </c>
      <c r="G76">
        <f t="shared" ref="G76:G98" si="58">(LN($B76/$B$69)+($B$71-$B$70+1/2*($D76/100)^2)*$E76)/($D76/100*SQRT($E76))</f>
        <v>-8.0566566445104779E-2</v>
      </c>
      <c r="H76">
        <f t="shared" ref="H76:H98" si="59">G76-$D76/100*SQRT($E76)</f>
        <v>-0.28731123667176334</v>
      </c>
      <c r="I76" s="1">
        <f>_xlfn.NORM.S.DIST(-$G76,TRUE)</f>
        <v>0.53210667207424178</v>
      </c>
      <c r="J76" s="1">
        <f>_xlfn.NORM.S.DIST(-$H76,TRUE)</f>
        <v>0.61306299020593658</v>
      </c>
      <c r="K76">
        <f t="shared" ref="K76:K96" si="60">-EXP(-$B$70*$E76)*I76</f>
        <v>-0.52834831910710034</v>
      </c>
      <c r="L76">
        <f t="shared" ref="L76:L96" si="61">(1/SQRT(2*PI()))*EXP(-(G76^2)/2)/(B76*D76/100*SQRT(E76))*EXP(-$B$70*E76)</f>
        <v>6.6910744556121201E-4</v>
      </c>
      <c r="M76">
        <f t="shared" ref="M76:M96" si="62">-(1/SQRT(2*PI()))*EXP(-(G76^2)/2)*B76*D76/100*EXP(-$B$70*E76)/(2*SQRT(E76))-($B$70*EXP(-$B$70*E76)*B76*I76)+($B$71*$B$69*EXP(-$B$71*E76)*J76)</f>
        <v>-402.40209286435618</v>
      </c>
      <c r="N76">
        <f t="shared" ref="N76:N96" si="63">(1/SQRT(2*PI()))*EXP(-(G76^2)/2)*B76*EXP(-$B$70*E76)*SQRT(E76)</f>
        <v>624.27620784841145</v>
      </c>
      <c r="O76">
        <f t="shared" ref="O76:O96" si="64">-E76*EXP(-$B$71*E76)*$B$69*J76</f>
        <v>-553.80823774911073</v>
      </c>
      <c r="Q76" s="14">
        <v>1</v>
      </c>
      <c r="R76" s="14">
        <v>-1.19090301797604</v>
      </c>
      <c r="S76" s="14">
        <v>-5.0705102333588987E-4</v>
      </c>
      <c r="T76" s="14">
        <f t="shared" si="49"/>
        <v>-0.8520028635891036</v>
      </c>
      <c r="U76" s="14">
        <f t="shared" ref="U76:U98" si="65">(EXP($B$3*F76)-1)*B75*T75</f>
        <v>-0.14121683087384213</v>
      </c>
      <c r="V76" s="14">
        <f t="shared" ref="V76:V98" si="66">-(R76-R75)*C45</f>
        <v>13.025584715986131</v>
      </c>
      <c r="W76" s="14">
        <f t="shared" ref="W76:W98" si="67">-(S76-S75)*C76</f>
        <v>0.26757575446048953</v>
      </c>
      <c r="X76" s="14">
        <f>-(T76-T75)*B45</f>
        <v>103.47745080183603</v>
      </c>
      <c r="Y76" s="14">
        <f t="shared" ref="Y76:Y98" si="68">Y75*EXP(F76*$B$4)+U76+X76+W76+V76</f>
        <v>2370.4240308263052</v>
      </c>
      <c r="Z76" s="14">
        <f t="shared" si="50"/>
        <v>-2373.0845867279349</v>
      </c>
      <c r="AA76" s="14">
        <f t="shared" si="51"/>
        <v>-2.6605559016297775</v>
      </c>
      <c r="AC76">
        <f t="shared" si="52"/>
        <v>0</v>
      </c>
      <c r="AD76">
        <f t="shared" si="53"/>
        <v>-1.2433472712598609E-10</v>
      </c>
      <c r="AE76">
        <f t="shared" si="54"/>
        <v>2.8093316851718342E-5</v>
      </c>
      <c r="AF76">
        <f t="shared" si="55"/>
        <v>39.868919119465595</v>
      </c>
      <c r="AG76">
        <f t="shared" si="56"/>
        <v>327.75185042922152</v>
      </c>
    </row>
    <row r="77" spans="1:33">
      <c r="A77" s="5">
        <v>43901</v>
      </c>
      <c r="B77" s="20">
        <v>2729</v>
      </c>
      <c r="C77" s="21">
        <v>296.5</v>
      </c>
      <c r="D77" s="21">
        <v>38.9501907</v>
      </c>
      <c r="E77">
        <f t="shared" si="57"/>
        <v>0.30410958904109592</v>
      </c>
      <c r="F77">
        <f>(A77-A76)/365</f>
        <v>2.7397260273972603E-3</v>
      </c>
      <c r="G77">
        <f t="shared" si="58"/>
        <v>-0.278352677317869</v>
      </c>
      <c r="H77">
        <f t="shared" si="59"/>
        <v>-0.49314791365433941</v>
      </c>
      <c r="I77" s="1">
        <f>_xlfn.NORM.S.DIST(-$G77,TRUE)</f>
        <v>0.60962917873578659</v>
      </c>
      <c r="J77" s="1">
        <f>_xlfn.NORM.S.DIST(-$H77,TRUE)</f>
        <v>0.68904596099562787</v>
      </c>
      <c r="K77">
        <f t="shared" si="60"/>
        <v>-0.60536158284535924</v>
      </c>
      <c r="L77">
        <f t="shared" si="61"/>
        <v>6.5013924294110071E-4</v>
      </c>
      <c r="M77">
        <f t="shared" si="62"/>
        <v>-391.85518880801624</v>
      </c>
      <c r="N77">
        <f t="shared" si="63"/>
        <v>573.52605860099163</v>
      </c>
      <c r="O77">
        <f t="shared" si="64"/>
        <v>-616.90093967722851</v>
      </c>
      <c r="Q77" s="14">
        <v>1</v>
      </c>
      <c r="R77" s="14">
        <v>-1.0458013673262521</v>
      </c>
      <c r="S77" s="14">
        <v>8.6259631416308062E-4</v>
      </c>
      <c r="T77" s="14">
        <f t="shared" si="49"/>
        <v>-0.81169198794469832</v>
      </c>
      <c r="U77" s="14">
        <f t="shared" si="65"/>
        <v>-0.15390967546189957</v>
      </c>
      <c r="V77" s="14">
        <f t="shared" si="66"/>
        <v>-20.169129440320528</v>
      </c>
      <c r="W77" s="14">
        <f t="shared" si="67"/>
        <v>-0.40610043556844477</v>
      </c>
      <c r="X77" s="14">
        <f t="shared" ref="X77:X98" si="69">-(T77-T76)*B46</f>
        <v>-110.008379633582</v>
      </c>
      <c r="Y77" s="14">
        <f t="shared" si="68"/>
        <v>2239.7300239338992</v>
      </c>
      <c r="Z77" s="14">
        <f t="shared" si="50"/>
        <v>-2243.2180653522814</v>
      </c>
      <c r="AA77" s="14">
        <f t="shared" si="51"/>
        <v>-3.4880414183821813</v>
      </c>
      <c r="AC77">
        <f t="shared" si="52"/>
        <v>0</v>
      </c>
      <c r="AD77">
        <f t="shared" si="53"/>
        <v>-3.2690117105691247E-11</v>
      </c>
      <c r="AE77">
        <f t="shared" si="54"/>
        <v>-1.6893349578050998E-5</v>
      </c>
      <c r="AF77">
        <f t="shared" si="55"/>
        <v>37.279026180558319</v>
      </c>
      <c r="AG77">
        <f t="shared" si="56"/>
        <v>303.19173509779682</v>
      </c>
    </row>
    <row r="78" spans="1:33">
      <c r="A78" s="5">
        <v>43902</v>
      </c>
      <c r="B78" s="20">
        <v>2456</v>
      </c>
      <c r="C78" s="21">
        <v>522.5</v>
      </c>
      <c r="D78" s="21">
        <v>44.715238509999999</v>
      </c>
      <c r="E78">
        <f t="shared" si="57"/>
        <v>0.30136986301369861</v>
      </c>
      <c r="F78">
        <f t="shared" ref="F78:F96" si="70">(A78-A77)/365</f>
        <v>2.7397260273972603E-3</v>
      </c>
      <c r="G78">
        <f t="shared" si="58"/>
        <v>-0.6439985593283154</v>
      </c>
      <c r="H78">
        <f t="shared" si="59"/>
        <v>-0.88947253811315607</v>
      </c>
      <c r="I78" s="1">
        <f t="shared" ref="I78:I98" si="71">_xlfn.NORM.S.DIST(-$G78,TRUE)</f>
        <v>0.74021181589617657</v>
      </c>
      <c r="J78" s="1">
        <f t="shared" ref="J78:J98" si="72">_xlfn.NORM.S.DIST(-$H78,TRUE)</f>
        <v>0.81312541212811695</v>
      </c>
      <c r="K78">
        <f t="shared" si="60"/>
        <v>-0.7350766203118686</v>
      </c>
      <c r="L78">
        <f t="shared" si="61"/>
        <v>5.340654246589777E-4</v>
      </c>
      <c r="M78">
        <f t="shared" si="62"/>
        <v>-347.72120534576692</v>
      </c>
      <c r="N78">
        <f t="shared" si="63"/>
        <v>434.1167669230565</v>
      </c>
      <c r="O78">
        <f t="shared" si="64"/>
        <v>-721.4437124806725</v>
      </c>
      <c r="Q78" s="14">
        <v>1</v>
      </c>
      <c r="R78" s="14">
        <v>-0.84882591772198013</v>
      </c>
      <c r="S78" s="14">
        <v>-6.8946316424874001E-4</v>
      </c>
      <c r="T78" s="14">
        <f t="shared" si="49"/>
        <v>-0.75302874630160366</v>
      </c>
      <c r="U78" s="14">
        <f t="shared" si="65"/>
        <v>-0.14019342730932985</v>
      </c>
      <c r="V78" s="14">
        <f t="shared" si="66"/>
        <v>-59.141878743682646</v>
      </c>
      <c r="W78" s="14">
        <f t="shared" si="67"/>
        <v>0.81095107747017636</v>
      </c>
      <c r="X78" s="14">
        <f t="shared" si="69"/>
        <v>-144.07692147544049</v>
      </c>
      <c r="Y78" s="14">
        <f t="shared" si="68"/>
        <v>2037.2230945947706</v>
      </c>
      <c r="Z78" s="14">
        <f t="shared" si="50"/>
        <v>-2051.658827216083</v>
      </c>
      <c r="AA78" s="14">
        <f t="shared" si="51"/>
        <v>-14.435732621312354</v>
      </c>
      <c r="AC78">
        <f t="shared" si="52"/>
        <v>0</v>
      </c>
      <c r="AD78">
        <f t="shared" si="53"/>
        <v>-5.6922202242265085E-18</v>
      </c>
      <c r="AE78">
        <f t="shared" si="54"/>
        <v>5.5314641755899174E-12</v>
      </c>
      <c r="AF78">
        <f t="shared" si="55"/>
        <v>28.439436169978364</v>
      </c>
      <c r="AG78">
        <f t="shared" si="56"/>
        <v>271.93312610356293</v>
      </c>
    </row>
    <row r="79" spans="1:33">
      <c r="A79" s="5">
        <v>43903</v>
      </c>
      <c r="B79" s="20">
        <v>2684</v>
      </c>
      <c r="C79" s="21">
        <v>319.25</v>
      </c>
      <c r="D79" s="21">
        <v>37.036692559999999</v>
      </c>
      <c r="E79">
        <f t="shared" si="57"/>
        <v>0.29863013698630136</v>
      </c>
      <c r="F79">
        <f t="shared" si="70"/>
        <v>2.7397260273972603E-3</v>
      </c>
      <c r="G79">
        <f t="shared" si="58"/>
        <v>-0.38989515037342232</v>
      </c>
      <c r="H79">
        <f t="shared" si="59"/>
        <v>-0.5922897933127419</v>
      </c>
      <c r="I79" s="1">
        <f t="shared" si="71"/>
        <v>0.65169295993383491</v>
      </c>
      <c r="J79" s="1">
        <f t="shared" si="72"/>
        <v>0.72317172526800622</v>
      </c>
      <c r="K79">
        <f t="shared" si="60"/>
        <v>-0.64721282035211181</v>
      </c>
      <c r="L79">
        <f t="shared" si="61"/>
        <v>6.7596200305960531E-4</v>
      </c>
      <c r="M79">
        <f t="shared" si="62"/>
        <v>-359.84349152564448</v>
      </c>
      <c r="N79">
        <f t="shared" si="63"/>
        <v>538.58361524332201</v>
      </c>
      <c r="O79">
        <f t="shared" si="64"/>
        <v>-635.81115216938952</v>
      </c>
      <c r="Q79" s="14">
        <v>1</v>
      </c>
      <c r="R79" s="14">
        <v>-1.0001062601823951</v>
      </c>
      <c r="S79" s="14">
        <v>-6.5584742159418652E-4</v>
      </c>
      <c r="T79" s="14">
        <f t="shared" si="49"/>
        <v>-0.80198347449703689</v>
      </c>
      <c r="U79" s="14">
        <f t="shared" si="65"/>
        <v>-0.11705036602383027</v>
      </c>
      <c r="V79" s="14">
        <f t="shared" si="66"/>
        <v>24.620875735432541</v>
      </c>
      <c r="W79" s="14">
        <f t="shared" si="67"/>
        <v>-1.0731825842466201E-2</v>
      </c>
      <c r="X79" s="14">
        <f t="shared" si="69"/>
        <v>131.39449047654279</v>
      </c>
      <c r="Y79" s="14">
        <f t="shared" si="68"/>
        <v>2193.148074560112</v>
      </c>
      <c r="Z79" s="14">
        <f t="shared" si="50"/>
        <v>-2220.0003186840759</v>
      </c>
      <c r="AA79" s="14">
        <f t="shared" si="51"/>
        <v>-26.852244123963828</v>
      </c>
      <c r="AC79">
        <f t="shared" si="52"/>
        <v>0</v>
      </c>
      <c r="AD79">
        <f t="shared" si="53"/>
        <v>8.482814508056351E-7</v>
      </c>
      <c r="AE79">
        <f t="shared" si="54"/>
        <v>-4.25726757680156E-7</v>
      </c>
      <c r="AF79">
        <f t="shared" si="55"/>
        <v>35.185514618903355</v>
      </c>
      <c r="AG79">
        <f t="shared" si="56"/>
        <v>287.29942256767634</v>
      </c>
    </row>
    <row r="80" spans="1:33">
      <c r="A80" s="5">
        <v>43906</v>
      </c>
      <c r="B80" s="20">
        <v>2405.25</v>
      </c>
      <c r="C80" s="21">
        <v>570.75</v>
      </c>
      <c r="D80" s="21">
        <v>49.129129140000003</v>
      </c>
      <c r="E80">
        <f t="shared" si="57"/>
        <v>0.29041095890410956</v>
      </c>
      <c r="F80">
        <f t="shared" si="70"/>
        <v>8.21917808219178E-3</v>
      </c>
      <c r="G80">
        <f t="shared" si="58"/>
        <v>-0.65670401997616068</v>
      </c>
      <c r="H80">
        <f t="shared" si="59"/>
        <v>-0.92145987079736003</v>
      </c>
      <c r="I80" s="1">
        <f t="shared" si="71"/>
        <v>0.7443143754438063</v>
      </c>
      <c r="J80" s="1">
        <f t="shared" si="72"/>
        <v>0.82159480845057753</v>
      </c>
      <c r="K80">
        <f t="shared" si="60"/>
        <v>-0.73933785868202362</v>
      </c>
      <c r="L80">
        <f t="shared" si="61"/>
        <v>5.0158421261324115E-4</v>
      </c>
      <c r="M80">
        <f t="shared" si="62"/>
        <v>-375.06831491869377</v>
      </c>
      <c r="N80">
        <f t="shared" si="63"/>
        <v>414.01528201525912</v>
      </c>
      <c r="O80">
        <f t="shared" si="64"/>
        <v>-702.50217495370703</v>
      </c>
      <c r="Q80" s="14">
        <v>1</v>
      </c>
      <c r="R80" s="14">
        <v>-0.83998812562050984</v>
      </c>
      <c r="S80" s="14">
        <v>-3.2592073971334694E-4</v>
      </c>
      <c r="T80" s="14">
        <f t="shared" si="49"/>
        <v>-0.75660051383687221</v>
      </c>
      <c r="U80" s="14">
        <f t="shared" si="65"/>
        <v>-0.40872342590477523</v>
      </c>
      <c r="V80" s="14">
        <f t="shared" si="66"/>
        <v>-54.920520154726653</v>
      </c>
      <c r="W80" s="14">
        <f t="shared" si="67"/>
        <v>-0.1883056536834892</v>
      </c>
      <c r="X80" s="14">
        <f t="shared" si="69"/>
        <v>-109.15736612786108</v>
      </c>
      <c r="Y80" s="14">
        <f t="shared" si="68"/>
        <v>2028.5939358831229</v>
      </c>
      <c r="Z80" s="14">
        <f t="shared" si="50"/>
        <v>-2059.3653322561631</v>
      </c>
      <c r="AA80" s="14">
        <f t="shared" si="51"/>
        <v>-30.771396373040261</v>
      </c>
      <c r="AC80">
        <f t="shared" si="52"/>
        <v>0</v>
      </c>
      <c r="AD80">
        <f t="shared" si="53"/>
        <v>1.0994916175734521E-10</v>
      </c>
      <c r="AE80">
        <f t="shared" si="54"/>
        <v>-2.1375679004620451E-12</v>
      </c>
      <c r="AF80">
        <f t="shared" si="55"/>
        <v>28.030019894924457</v>
      </c>
      <c r="AG80">
        <f t="shared" si="56"/>
        <v>250.29185756910795</v>
      </c>
    </row>
    <row r="81" spans="1:33">
      <c r="A81" s="5">
        <v>43907</v>
      </c>
      <c r="B81" s="20">
        <v>2485.5</v>
      </c>
      <c r="C81" s="21">
        <v>497</v>
      </c>
      <c r="D81" s="21">
        <v>46.831173550000003</v>
      </c>
      <c r="E81">
        <f t="shared" si="57"/>
        <v>0.28767123287671231</v>
      </c>
      <c r="F81">
        <f t="shared" si="70"/>
        <v>2.7397260273972603E-3</v>
      </c>
      <c r="G81">
        <f t="shared" si="58"/>
        <v>-0.57530175645603143</v>
      </c>
      <c r="H81">
        <f t="shared" si="59"/>
        <v>-0.82648071666435596</v>
      </c>
      <c r="I81" s="1">
        <f t="shared" si="71"/>
        <v>0.71745638309093462</v>
      </c>
      <c r="J81" s="1">
        <f t="shared" si="72"/>
        <v>0.79573427380681661</v>
      </c>
      <c r="K81">
        <f t="shared" si="60"/>
        <v>-0.71270454396271943</v>
      </c>
      <c r="L81">
        <f t="shared" si="61"/>
        <v>5.3796916440298082E-4</v>
      </c>
      <c r="M81">
        <f t="shared" si="62"/>
        <v>-389.66169617505318</v>
      </c>
      <c r="N81">
        <f t="shared" si="63"/>
        <v>447.73020483096838</v>
      </c>
      <c r="O81">
        <f t="shared" si="64"/>
        <v>-673.98379857605892</v>
      </c>
      <c r="Q81" s="14">
        <v>1</v>
      </c>
      <c r="R81" s="14">
        <v>-0.86972375690620285</v>
      </c>
      <c r="S81" s="14">
        <v>8.2834086143815909E-4</v>
      </c>
      <c r="T81" s="14">
        <f t="shared" si="49"/>
        <v>-0.76284104824523269</v>
      </c>
      <c r="U81" s="14">
        <f t="shared" si="65"/>
        <v>-0.11517539582541074</v>
      </c>
      <c r="V81" s="14">
        <f t="shared" si="66"/>
        <v>8.4226175616725456</v>
      </c>
      <c r="W81" s="14">
        <f t="shared" si="67"/>
        <v>-0.57366801577229842</v>
      </c>
      <c r="X81" s="14">
        <f t="shared" si="69"/>
        <v>15.510848271979963</v>
      </c>
      <c r="Y81" s="14">
        <f t="shared" si="68"/>
        <v>2051.8757958507008</v>
      </c>
      <c r="Z81" s="14">
        <f t="shared" si="50"/>
        <v>-2085.2289941490726</v>
      </c>
      <c r="AA81" s="14">
        <f t="shared" si="51"/>
        <v>-33.353198298371808</v>
      </c>
      <c r="AC81">
        <f t="shared" si="52"/>
        <v>0</v>
      </c>
      <c r="AD81">
        <f t="shared" si="53"/>
        <v>-3.8307708667142764E-11</v>
      </c>
      <c r="AE81">
        <f t="shared" si="54"/>
        <v>4.1994185906446546E-13</v>
      </c>
      <c r="AF81">
        <f t="shared" si="55"/>
        <v>31.126140009110095</v>
      </c>
      <c r="AG81">
        <f t="shared" si="56"/>
        <v>247.14886482059691</v>
      </c>
    </row>
    <row r="82" spans="1:33">
      <c r="A82" s="5">
        <v>43908</v>
      </c>
      <c r="B82" s="20">
        <v>2401.5</v>
      </c>
      <c r="C82" s="21">
        <v>567.25</v>
      </c>
      <c r="D82" s="21">
        <v>46.220384510000002</v>
      </c>
      <c r="E82">
        <f t="shared" si="57"/>
        <v>0.28493150684931506</v>
      </c>
      <c r="F82">
        <f t="shared" si="70"/>
        <v>2.7397260273972603E-3</v>
      </c>
      <c r="G82">
        <f t="shared" si="58"/>
        <v>-0.72936705158561876</v>
      </c>
      <c r="H82">
        <f t="shared" si="59"/>
        <v>-0.97608673068602314</v>
      </c>
      <c r="I82" s="1">
        <f t="shared" si="71"/>
        <v>0.76711141662939197</v>
      </c>
      <c r="J82" s="1">
        <f t="shared" si="72"/>
        <v>0.83548925678414621</v>
      </c>
      <c r="K82">
        <f t="shared" si="60"/>
        <v>-0.76207893220276868</v>
      </c>
      <c r="L82">
        <f t="shared" si="61"/>
        <v>5.1268192680201065E-4</v>
      </c>
      <c r="M82">
        <f t="shared" si="62"/>
        <v>-341.6218732405755</v>
      </c>
      <c r="N82">
        <f t="shared" si="63"/>
        <v>389.39217390341838</v>
      </c>
      <c r="O82">
        <f t="shared" si="64"/>
        <v>-700.92939694708559</v>
      </c>
      <c r="Q82" s="14">
        <v>1</v>
      </c>
      <c r="R82" s="14">
        <v>-0.80701829485777443</v>
      </c>
      <c r="S82" s="14">
        <v>1.4926398901070359E-3</v>
      </c>
      <c r="T82" s="14">
        <f t="shared" si="49"/>
        <v>-0.72441524574283467</v>
      </c>
      <c r="U82" s="14">
        <f t="shared" si="65"/>
        <v>-0.11999984359090893</v>
      </c>
      <c r="V82" s="14">
        <f t="shared" si="66"/>
        <v>-20.58306791739663</v>
      </c>
      <c r="W82" s="14">
        <f t="shared" si="67"/>
        <v>-0.37682362401242037</v>
      </c>
      <c r="X82" s="14">
        <f t="shared" si="69"/>
        <v>-92.279564709508847</v>
      </c>
      <c r="Y82" s="14">
        <f t="shared" si="68"/>
        <v>1938.5540046712861</v>
      </c>
      <c r="Z82" s="14">
        <f t="shared" si="50"/>
        <v>-1968.2402679608188</v>
      </c>
      <c r="AA82" s="14">
        <f t="shared" si="51"/>
        <v>-29.68626328953269</v>
      </c>
      <c r="AC82">
        <f t="shared" si="52"/>
        <v>0</v>
      </c>
      <c r="AD82">
        <f t="shared" si="53"/>
        <v>1.4400865768358288E-10</v>
      </c>
      <c r="AE82">
        <f t="shared" si="54"/>
        <v>6.0789163842445149E-5</v>
      </c>
      <c r="AF82">
        <f t="shared" si="55"/>
        <v>28.943024630353559</v>
      </c>
      <c r="AG82">
        <f t="shared" si="56"/>
        <v>227.88764455019333</v>
      </c>
    </row>
    <row r="83" spans="1:33">
      <c r="A83" s="5">
        <v>43909</v>
      </c>
      <c r="B83" s="20">
        <v>2389</v>
      </c>
      <c r="C83" s="21">
        <v>572.25</v>
      </c>
      <c r="D83" s="21">
        <v>42.20450409</v>
      </c>
      <c r="E83">
        <f t="shared" si="57"/>
        <v>0.28219178082191781</v>
      </c>
      <c r="F83">
        <f t="shared" si="70"/>
        <v>2.7397260273972603E-3</v>
      </c>
      <c r="G83">
        <f t="shared" si="58"/>
        <v>-0.84936659813686999</v>
      </c>
      <c r="H83">
        <f t="shared" si="59"/>
        <v>-1.0735642097507117</v>
      </c>
      <c r="I83" s="1">
        <f t="shared" si="71"/>
        <v>0.80216133333682382</v>
      </c>
      <c r="J83" s="1">
        <f t="shared" si="72"/>
        <v>0.85849097710686673</v>
      </c>
      <c r="K83">
        <f t="shared" si="60"/>
        <v>-0.79694934625849778</v>
      </c>
      <c r="L83">
        <f t="shared" si="61"/>
        <v>5.1591336784298069E-4</v>
      </c>
      <c r="M83">
        <f t="shared" si="62"/>
        <v>-289.28298624070459</v>
      </c>
      <c r="N83">
        <f t="shared" si="63"/>
        <v>350.68100490024221</v>
      </c>
      <c r="O83">
        <f t="shared" si="64"/>
        <v>-713.31440951738603</v>
      </c>
      <c r="Q83" s="14">
        <v>1</v>
      </c>
      <c r="R83" s="14">
        <v>-0.73231548167633798</v>
      </c>
      <c r="S83" s="14">
        <v>-3.4895218830524599E-4</v>
      </c>
      <c r="T83" s="14">
        <f t="shared" si="49"/>
        <v>-0.66124320721742846</v>
      </c>
      <c r="U83" s="14">
        <f t="shared" si="65"/>
        <v>-0.11010398328737422</v>
      </c>
      <c r="V83" s="14">
        <f t="shared" si="66"/>
        <v>-23.251250602722099</v>
      </c>
      <c r="W83" s="14">
        <f t="shared" si="67"/>
        <v>1.0538510668714283</v>
      </c>
      <c r="X83" s="14">
        <f t="shared" si="69"/>
        <v>-150.91800003719541</v>
      </c>
      <c r="Y83" s="14">
        <f t="shared" si="68"/>
        <v>1765.3640858575275</v>
      </c>
      <c r="Z83" s="14">
        <f t="shared" si="50"/>
        <v>-1785.5929036039543</v>
      </c>
      <c r="AA83" s="14">
        <f t="shared" si="51"/>
        <v>-20.228817746426785</v>
      </c>
      <c r="AC83">
        <f t="shared" si="52"/>
        <v>0</v>
      </c>
      <c r="AD83">
        <f t="shared" si="53"/>
        <v>-1.8405761246039929E-18</v>
      </c>
      <c r="AE83">
        <f t="shared" si="54"/>
        <v>-4.8325649038005736E-12</v>
      </c>
      <c r="AF83">
        <f t="shared" si="55"/>
        <v>24.317088976612119</v>
      </c>
      <c r="AG83">
        <f t="shared" si="56"/>
        <v>203.28170484032631</v>
      </c>
    </row>
    <row r="84" spans="1:33">
      <c r="A84" s="5">
        <v>43910</v>
      </c>
      <c r="B84" s="20">
        <v>2288.5</v>
      </c>
      <c r="C84" s="21">
        <v>665.75</v>
      </c>
      <c r="D84" s="21">
        <v>41.58978415</v>
      </c>
      <c r="E84">
        <f t="shared" si="57"/>
        <v>0.27945205479452057</v>
      </c>
      <c r="F84">
        <f t="shared" si="70"/>
        <v>2.7397260273972603E-3</v>
      </c>
      <c r="G84">
        <f t="shared" si="58"/>
        <v>-1.0657974871015454</v>
      </c>
      <c r="H84">
        <f t="shared" si="59"/>
        <v>-1.2856544984518845</v>
      </c>
      <c r="I84" s="1">
        <f t="shared" si="71"/>
        <v>0.85674240144251756</v>
      </c>
      <c r="J84" s="1">
        <f t="shared" si="72"/>
        <v>0.90071816610720823</v>
      </c>
      <c r="K84">
        <f t="shared" si="60"/>
        <v>-0.85122964833458081</v>
      </c>
      <c r="L84">
        <f t="shared" si="61"/>
        <v>4.4642908914062812E-4</v>
      </c>
      <c r="M84">
        <f t="shared" si="62"/>
        <v>-229.43799326716692</v>
      </c>
      <c r="N84">
        <f t="shared" si="63"/>
        <v>271.73669721656739</v>
      </c>
      <c r="O84">
        <f t="shared" si="64"/>
        <v>-741.14827667223017</v>
      </c>
      <c r="Q84" s="14">
        <v>1</v>
      </c>
      <c r="R84" s="14">
        <v>-0.49063994278716788</v>
      </c>
      <c r="S84" s="14">
        <v>2.0952318578476652E-3</v>
      </c>
      <c r="T84" s="14">
        <f t="shared" si="49"/>
        <v>-0.45815520043609592</v>
      </c>
      <c r="U84" s="14">
        <f t="shared" si="65"/>
        <v>-9.9979332214611111E-2</v>
      </c>
      <c r="V84" s="14">
        <f t="shared" si="66"/>
        <v>-84.767695265376418</v>
      </c>
      <c r="W84" s="14">
        <f t="shared" si="67"/>
        <v>-1.6272155287263006</v>
      </c>
      <c r="X84" s="14">
        <f t="shared" si="69"/>
        <v>-464.76690351907951</v>
      </c>
      <c r="Y84" s="14">
        <f t="shared" si="68"/>
        <v>1214.134697822908</v>
      </c>
      <c r="Z84" s="14">
        <f t="shared" si="50"/>
        <v>-1212.1852355212425</v>
      </c>
      <c r="AA84" s="14">
        <f t="shared" si="51"/>
        <v>1.9494623016655623</v>
      </c>
      <c r="AC84">
        <f t="shared" si="52"/>
        <v>0</v>
      </c>
      <c r="AD84">
        <f t="shared" si="53"/>
        <v>8.7544031472284144E-18</v>
      </c>
      <c r="AE84">
        <f t="shared" si="54"/>
        <v>-9.1116003630986597E-13</v>
      </c>
      <c r="AF84">
        <f t="shared" si="55"/>
        <v>17.459159044139554</v>
      </c>
      <c r="AG84">
        <f t="shared" si="56"/>
        <v>134.94646097828951</v>
      </c>
    </row>
    <row r="85" spans="1:33">
      <c r="A85" s="5">
        <v>43913</v>
      </c>
      <c r="B85" s="20">
        <v>2220.5</v>
      </c>
      <c r="C85" s="21">
        <v>732.5</v>
      </c>
      <c r="D85" s="21">
        <v>45.233885290000003</v>
      </c>
      <c r="E85">
        <f t="shared" si="57"/>
        <v>0.27123287671232876</v>
      </c>
      <c r="F85">
        <f t="shared" si="70"/>
        <v>8.21917808219178E-3</v>
      </c>
      <c r="G85">
        <f t="shared" si="58"/>
        <v>-1.1069465679728274</v>
      </c>
      <c r="H85">
        <f t="shared" si="59"/>
        <v>-1.3425247453609199</v>
      </c>
      <c r="I85" s="1">
        <f t="shared" si="71"/>
        <v>0.86584148477875122</v>
      </c>
      <c r="J85" s="1">
        <f t="shared" si="72"/>
        <v>0.91028704376315595</v>
      </c>
      <c r="K85">
        <f t="shared" si="60"/>
        <v>-0.86043353214648988</v>
      </c>
      <c r="L85">
        <f t="shared" si="61"/>
        <v>4.1070121346480516E-4</v>
      </c>
      <c r="M85">
        <f t="shared" si="62"/>
        <v>-233.34480043195009</v>
      </c>
      <c r="N85">
        <f t="shared" si="63"/>
        <v>248.44700374330077</v>
      </c>
      <c r="O85">
        <f t="shared" si="64"/>
        <v>-727.03192441635144</v>
      </c>
      <c r="Q85" s="14">
        <v>1</v>
      </c>
      <c r="R85" s="14">
        <v>-0.3800203965099983</v>
      </c>
      <c r="S85" s="14">
        <v>1.8509325765810626E-3</v>
      </c>
      <c r="T85" s="14">
        <f t="shared" si="49"/>
        <v>-0.36269980174445621</v>
      </c>
      <c r="U85" s="14">
        <f t="shared" si="65"/>
        <v>-0.19908802408848364</v>
      </c>
      <c r="V85" s="14">
        <f t="shared" si="66"/>
        <v>-44.358438057145001</v>
      </c>
      <c r="W85" s="14">
        <f t="shared" si="67"/>
        <v>0.17894922352778639</v>
      </c>
      <c r="X85" s="14">
        <f t="shared" si="69"/>
        <v>-211.95871279478598</v>
      </c>
      <c r="Y85" s="14">
        <f t="shared" si="68"/>
        <v>957.86427057969661</v>
      </c>
      <c r="Z85" s="14">
        <f t="shared" si="50"/>
        <v>-951.40728066172881</v>
      </c>
      <c r="AA85" s="14">
        <f t="shared" si="51"/>
        <v>6.4569899179678032</v>
      </c>
      <c r="AC85">
        <f t="shared" si="52"/>
        <v>0</v>
      </c>
      <c r="AD85">
        <f t="shared" si="53"/>
        <v>-5.1581130114234687E-18</v>
      </c>
      <c r="AE85">
        <f t="shared" si="54"/>
        <v>3.321287689317387E-12</v>
      </c>
      <c r="AF85">
        <f t="shared" si="55"/>
        <v>13.397030115531141</v>
      </c>
      <c r="AG85">
        <f t="shared" si="56"/>
        <v>98.367147905386147</v>
      </c>
    </row>
    <row r="86" spans="1:33">
      <c r="A86" s="5">
        <v>43914</v>
      </c>
      <c r="B86" s="20">
        <v>2438</v>
      </c>
      <c r="C86" s="21">
        <v>527.5</v>
      </c>
      <c r="D86" s="21">
        <v>44.712819449999998</v>
      </c>
      <c r="E86">
        <f t="shared" si="57"/>
        <v>0.26849315068493151</v>
      </c>
      <c r="F86">
        <f t="shared" si="70"/>
        <v>2.7397260273972603E-3</v>
      </c>
      <c r="G86">
        <f t="shared" si="58"/>
        <v>-0.72594719998457091</v>
      </c>
      <c r="H86">
        <f t="shared" si="59"/>
        <v>-0.9576325971337869</v>
      </c>
      <c r="I86" s="1">
        <f t="shared" si="71"/>
        <v>0.76606443022156767</v>
      </c>
      <c r="J86" s="1">
        <f t="shared" si="72"/>
        <v>0.83087597206788955</v>
      </c>
      <c r="K86">
        <f t="shared" si="60"/>
        <v>-0.76132785546492743</v>
      </c>
      <c r="L86">
        <f t="shared" si="61"/>
        <v>5.3932142485235918E-4</v>
      </c>
      <c r="M86">
        <f t="shared" si="62"/>
        <v>-346.92538357992464</v>
      </c>
      <c r="N86">
        <f t="shared" si="63"/>
        <v>384.84012142626739</v>
      </c>
      <c r="O86">
        <f t="shared" si="64"/>
        <v>-656.91650398268189</v>
      </c>
      <c r="Q86" s="14">
        <v>1</v>
      </c>
      <c r="R86" s="14">
        <v>-0.66542763122048187</v>
      </c>
      <c r="S86" s="14">
        <v>-6.6159491870442422E-4</v>
      </c>
      <c r="T86" s="14">
        <f t="shared" si="49"/>
        <v>-0.58978135248388619</v>
      </c>
      <c r="U86" s="14">
        <f t="shared" si="65"/>
        <v>-5.0971915438921378E-2</v>
      </c>
      <c r="V86" s="14">
        <f t="shared" si="66"/>
        <v>71.066401442910404</v>
      </c>
      <c r="W86" s="14">
        <f t="shared" si="67"/>
        <v>1.3253582537630944</v>
      </c>
      <c r="X86" s="14">
        <f t="shared" si="69"/>
        <v>553.62482070273029</v>
      </c>
      <c r="Y86" s="14">
        <f t="shared" si="68"/>
        <v>1583.8474619390461</v>
      </c>
      <c r="Z86" s="14">
        <f t="shared" si="50"/>
        <v>-1578.9274088492309</v>
      </c>
      <c r="AA86" s="14">
        <f t="shared" si="51"/>
        <v>4.9200530898151555</v>
      </c>
      <c r="AC86">
        <f t="shared" si="52"/>
        <v>0</v>
      </c>
      <c r="AD86">
        <f t="shared" si="53"/>
        <v>-1.0633007184654598E-10</v>
      </c>
      <c r="AE86">
        <f t="shared" si="54"/>
        <v>-1.3657408537426363E-12</v>
      </c>
      <c r="AF86">
        <f t="shared" si="55"/>
        <v>21.908556102439881</v>
      </c>
      <c r="AG86">
        <f t="shared" si="56"/>
        <v>159.82318827007342</v>
      </c>
    </row>
    <row r="87" spans="1:33">
      <c r="A87" s="5">
        <v>43915</v>
      </c>
      <c r="B87" s="20">
        <v>2467</v>
      </c>
      <c r="C87" s="21">
        <v>498.5</v>
      </c>
      <c r="D87" s="21">
        <v>43.132901070000003</v>
      </c>
      <c r="E87">
        <f t="shared" si="57"/>
        <v>0.26575342465753427</v>
      </c>
      <c r="F87">
        <f t="shared" si="70"/>
        <v>2.7397260273972603E-3</v>
      </c>
      <c r="G87">
        <f t="shared" si="58"/>
        <v>-0.71255082819869098</v>
      </c>
      <c r="H87">
        <f t="shared" si="59"/>
        <v>-0.93490644489404662</v>
      </c>
      <c r="I87" s="1">
        <f t="shared" si="71"/>
        <v>0.76193812579921105</v>
      </c>
      <c r="J87" s="1">
        <f t="shared" si="72"/>
        <v>0.82508174229646425</v>
      </c>
      <c r="K87">
        <f t="shared" si="60"/>
        <v>-0.75727498862809028</v>
      </c>
      <c r="L87">
        <f t="shared" si="61"/>
        <v>5.6075717264243512E-4</v>
      </c>
      <c r="M87">
        <f t="shared" si="62"/>
        <v>-344.34501258437803</v>
      </c>
      <c r="N87">
        <f t="shared" si="63"/>
        <v>391.20164778933594</v>
      </c>
      <c r="O87">
        <f t="shared" si="64"/>
        <v>-645.69077346032043</v>
      </c>
      <c r="Q87" s="14">
        <v>1</v>
      </c>
      <c r="R87" s="14">
        <v>-0.7308408943594592</v>
      </c>
      <c r="S87" s="14">
        <v>7.2249557381056783E-4</v>
      </c>
      <c r="T87" s="14">
        <f t="shared" si="49"/>
        <v>-0.63801435650864857</v>
      </c>
      <c r="U87" s="14">
        <f t="shared" si="65"/>
        <v>-9.1003395427641867E-2</v>
      </c>
      <c r="V87" s="14">
        <f t="shared" si="66"/>
        <v>15.699183153354559</v>
      </c>
      <c r="W87" s="14">
        <f t="shared" si="67"/>
        <v>-0.68996911051872356</v>
      </c>
      <c r="X87" s="14">
        <f t="shared" si="69"/>
        <v>118.9908209290888</v>
      </c>
      <c r="Y87" s="14">
        <f t="shared" si="68"/>
        <v>1717.7855671467526</v>
      </c>
      <c r="Z87" s="14">
        <f t="shared" si="50"/>
        <v>-1720.7730681095618</v>
      </c>
      <c r="AA87" s="14">
        <f t="shared" si="51"/>
        <v>-2.9875009628092357</v>
      </c>
      <c r="AC87">
        <f t="shared" si="52"/>
        <v>0</v>
      </c>
      <c r="AD87">
        <f t="shared" si="53"/>
        <v>-1.5169450613121212E-10</v>
      </c>
      <c r="AE87">
        <f t="shared" si="54"/>
        <v>8.0686827610809697E-5</v>
      </c>
      <c r="AF87">
        <f t="shared" si="55"/>
        <v>25.841920338708611</v>
      </c>
      <c r="AG87">
        <f t="shared" si="56"/>
        <v>168.12474067318746</v>
      </c>
    </row>
    <row r="88" spans="1:33">
      <c r="A88" s="5">
        <v>43916</v>
      </c>
      <c r="B88" s="20">
        <v>2608</v>
      </c>
      <c r="C88" s="21">
        <v>368</v>
      </c>
      <c r="D88" s="21">
        <v>38.743804330000003</v>
      </c>
      <c r="E88">
        <f t="shared" si="57"/>
        <v>0.26301369863013696</v>
      </c>
      <c r="F88">
        <f t="shared" si="70"/>
        <v>2.7397260273972603E-3</v>
      </c>
      <c r="G88">
        <f t="shared" si="58"/>
        <v>-0.54250771572514456</v>
      </c>
      <c r="H88">
        <f t="shared" si="59"/>
        <v>-0.74120477839192755</v>
      </c>
      <c r="I88" s="1">
        <f t="shared" si="71"/>
        <v>0.7062656031900072</v>
      </c>
      <c r="J88" s="1">
        <f t="shared" si="72"/>
        <v>0.77071535671294811</v>
      </c>
      <c r="K88">
        <f t="shared" si="60"/>
        <v>-0.70198761315419955</v>
      </c>
      <c r="L88">
        <f t="shared" si="61"/>
        <v>6.6048478409758745E-4</v>
      </c>
      <c r="M88">
        <f t="shared" si="62"/>
        <v>-364.25752548467659</v>
      </c>
      <c r="N88">
        <f t="shared" si="63"/>
        <v>457.78190536261826</v>
      </c>
      <c r="O88">
        <f t="shared" si="64"/>
        <v>-596.93780856634635</v>
      </c>
      <c r="Q88" s="14">
        <v>1</v>
      </c>
      <c r="R88" s="14">
        <v>-0.88732665369967112</v>
      </c>
      <c r="S88" s="14">
        <v>-4.7667070519020043E-5</v>
      </c>
      <c r="T88" s="14">
        <f t="shared" si="49"/>
        <v>-0.71972071836798546</v>
      </c>
      <c r="U88" s="14">
        <f t="shared" si="65"/>
        <v>-9.9616770701422483E-2</v>
      </c>
      <c r="V88" s="14">
        <f t="shared" si="66"/>
        <v>25.702785971629808</v>
      </c>
      <c r="W88" s="14">
        <f t="shared" si="67"/>
        <v>0.28341985311328832</v>
      </c>
      <c r="X88" s="14">
        <f t="shared" si="69"/>
        <v>213.0901917291506</v>
      </c>
      <c r="Y88" s="14">
        <f t="shared" si="68"/>
        <v>1956.7938801735959</v>
      </c>
      <c r="Z88" s="14">
        <f t="shared" si="50"/>
        <v>-1972.7925778558279</v>
      </c>
      <c r="AA88" s="14">
        <f t="shared" si="51"/>
        <v>-15.998697682231978</v>
      </c>
      <c r="AC88">
        <f t="shared" si="52"/>
        <v>0</v>
      </c>
      <c r="AD88">
        <f t="shared" si="53"/>
        <v>-1.8557883279845629E-13</v>
      </c>
      <c r="AE88" s="17">
        <f t="shared" si="54"/>
        <v>-7.0869352053470891E-13</v>
      </c>
      <c r="AF88">
        <f t="shared" si="55"/>
        <v>30.238593642112239</v>
      </c>
      <c r="AG88">
        <f t="shared" si="56"/>
        <v>186.63805953765853</v>
      </c>
    </row>
    <row r="89" spans="1:33">
      <c r="A89" s="5">
        <v>43917</v>
      </c>
      <c r="B89" s="20">
        <v>2524</v>
      </c>
      <c r="C89" s="21">
        <v>440.5</v>
      </c>
      <c r="D89" s="21">
        <v>39.284738339999997</v>
      </c>
      <c r="E89">
        <f t="shared" si="57"/>
        <v>0.26027397260273971</v>
      </c>
      <c r="F89">
        <f t="shared" si="70"/>
        <v>2.7397260273972603E-3</v>
      </c>
      <c r="G89">
        <f t="shared" si="58"/>
        <v>-0.6992584937711579</v>
      </c>
      <c r="H89">
        <f t="shared" si="59"/>
        <v>-0.89967765269456479</v>
      </c>
      <c r="I89" s="1">
        <f t="shared" si="71"/>
        <v>0.75780474946071752</v>
      </c>
      <c r="J89" s="1">
        <f t="shared" si="72"/>
        <v>0.81585409034845391</v>
      </c>
      <c r="K89">
        <f t="shared" si="60"/>
        <v>-0.75326224735726688</v>
      </c>
      <c r="L89">
        <f t="shared" si="61"/>
        <v>6.1389417673999636E-4</v>
      </c>
      <c r="M89">
        <f t="shared" si="62"/>
        <v>-329.60089163635212</v>
      </c>
      <c r="N89">
        <f t="shared" si="63"/>
        <v>399.87736401724214</v>
      </c>
      <c r="O89">
        <f t="shared" si="64"/>
        <v>-625.32805553185278</v>
      </c>
      <c r="Q89" s="14">
        <v>1</v>
      </c>
      <c r="R89" s="14">
        <v>-0.79353581659537475</v>
      </c>
      <c r="S89" s="14">
        <v>4.3484769941948834E-4</v>
      </c>
      <c r="T89" s="14">
        <f t="shared" si="49"/>
        <v>-0.674373711501835</v>
      </c>
      <c r="U89" s="14">
        <f t="shared" si="65"/>
        <v>-0.11879672005927165</v>
      </c>
      <c r="V89" s="14">
        <f t="shared" si="66"/>
        <v>-19.508494117693644</v>
      </c>
      <c r="W89" s="14">
        <f t="shared" si="67"/>
        <v>-0.21254775615791294</v>
      </c>
      <c r="X89" s="14">
        <f t="shared" si="69"/>
        <v>-114.45584533016374</v>
      </c>
      <c r="Y89" s="14">
        <f t="shared" si="68"/>
        <v>1822.5341158093224</v>
      </c>
      <c r="Z89" s="14">
        <f t="shared" si="50"/>
        <v>-1836.4831472708752</v>
      </c>
      <c r="AA89" s="14">
        <f t="shared" si="51"/>
        <v>-13.94903146155275</v>
      </c>
      <c r="AC89">
        <f t="shared" si="52"/>
        <v>0</v>
      </c>
      <c r="AD89">
        <f t="shared" si="53"/>
        <v>1.7343550648753369E-10</v>
      </c>
      <c r="AE89">
        <f t="shared" si="54"/>
        <v>6.3098151659696233E-5</v>
      </c>
      <c r="AF89">
        <f t="shared" si="55"/>
        <v>27.796692287239697</v>
      </c>
      <c r="AG89">
        <f t="shared" si="56"/>
        <v>168.64411753500985</v>
      </c>
    </row>
    <row r="90" spans="1:33">
      <c r="A90" s="5">
        <v>43920</v>
      </c>
      <c r="B90" s="20">
        <v>2611.25</v>
      </c>
      <c r="C90" s="21">
        <v>354.5</v>
      </c>
      <c r="D90" s="21">
        <v>35.001327910000001</v>
      </c>
      <c r="E90">
        <f t="shared" si="57"/>
        <v>0.25205479452054796</v>
      </c>
      <c r="F90">
        <f t="shared" si="70"/>
        <v>8.21917808219178E-3</v>
      </c>
      <c r="G90">
        <f t="shared" si="58"/>
        <v>-0.62979486258601014</v>
      </c>
      <c r="H90">
        <f t="shared" si="59"/>
        <v>-0.80551923572698458</v>
      </c>
      <c r="I90" s="1">
        <f t="shared" si="71"/>
        <v>0.73558559633531739</v>
      </c>
      <c r="J90" s="1">
        <f t="shared" si="72"/>
        <v>0.78973994465391162</v>
      </c>
      <c r="K90">
        <f t="shared" si="60"/>
        <v>-0.73131511881099698</v>
      </c>
      <c r="L90">
        <f t="shared" si="61"/>
        <v>7.0887771395492828E-4</v>
      </c>
      <c r="M90">
        <f t="shared" si="62"/>
        <v>-324.60874007799828</v>
      </c>
      <c r="N90">
        <f t="shared" si="63"/>
        <v>426.42996346627547</v>
      </c>
      <c r="O90">
        <f t="shared" si="64"/>
        <v>-586.22948994539615</v>
      </c>
      <c r="Q90" s="14">
        <v>1</v>
      </c>
      <c r="R90" s="14">
        <v>-0.85582532462846372</v>
      </c>
      <c r="S90" s="14">
        <v>-6.3002413788885715E-5</v>
      </c>
      <c r="T90" s="14">
        <f t="shared" si="49"/>
        <v>-0.68092847920533817</v>
      </c>
      <c r="U90" s="14">
        <f t="shared" si="65"/>
        <v>-0.32320017097606357</v>
      </c>
      <c r="V90" s="14">
        <f t="shared" si="66"/>
        <v>9.0164062877896285</v>
      </c>
      <c r="W90" s="14">
        <f t="shared" si="67"/>
        <v>0.17648786513236861</v>
      </c>
      <c r="X90" s="14">
        <f t="shared" si="69"/>
        <v>17.116137165772631</v>
      </c>
      <c r="Y90" s="14">
        <f t="shared" si="68"/>
        <v>1848.620313928018</v>
      </c>
      <c r="Z90" s="14">
        <f t="shared" si="50"/>
        <v>-1866.9775414205976</v>
      </c>
      <c r="AA90" s="14">
        <f t="shared" si="51"/>
        <v>-18.357227492579568</v>
      </c>
      <c r="AC90">
        <f t="shared" si="52"/>
        <v>0</v>
      </c>
      <c r="AD90">
        <f t="shared" si="53"/>
        <v>6.633551761311854E-18</v>
      </c>
      <c r="AE90">
        <f t="shared" si="54"/>
        <v>-5.2253375237842903E-12</v>
      </c>
      <c r="AF90">
        <f t="shared" si="55"/>
        <v>28.638807864178894</v>
      </c>
      <c r="AG90">
        <f t="shared" si="56"/>
        <v>156.29091621771082</v>
      </c>
    </row>
    <row r="91" spans="1:33">
      <c r="A91" s="5">
        <v>43921</v>
      </c>
      <c r="B91" s="20">
        <v>2569.75</v>
      </c>
      <c r="C91" s="21">
        <v>385.5</v>
      </c>
      <c r="D91" s="21">
        <v>30.089224269999999</v>
      </c>
      <c r="E91">
        <f t="shared" si="57"/>
        <v>0.24931506849315069</v>
      </c>
      <c r="F91">
        <f t="shared" si="70"/>
        <v>2.7397260273972603E-3</v>
      </c>
      <c r="G91">
        <f t="shared" si="58"/>
        <v>-0.87060305942316796</v>
      </c>
      <c r="H91">
        <f t="shared" si="59"/>
        <v>-1.0208429488443478</v>
      </c>
      <c r="I91" s="1">
        <f t="shared" si="71"/>
        <v>0.80801453729517736</v>
      </c>
      <c r="J91" s="1">
        <f t="shared" si="72"/>
        <v>0.84633557379960633</v>
      </c>
      <c r="K91">
        <f t="shared" si="60"/>
        <v>-0.80337441216073102</v>
      </c>
      <c r="L91">
        <f t="shared" si="61"/>
        <v>7.0330883523986071E-4</v>
      </c>
      <c r="M91">
        <f t="shared" si="62"/>
        <v>-241.23154559920525</v>
      </c>
      <c r="N91">
        <f t="shared" si="63"/>
        <v>348.40737694518543</v>
      </c>
      <c r="O91">
        <f t="shared" si="64"/>
        <v>-621.42352395457669</v>
      </c>
      <c r="Q91" s="14">
        <v>1</v>
      </c>
      <c r="R91" s="14">
        <v>-0.73400393099035033</v>
      </c>
      <c r="S91" s="14">
        <v>1.9536360823319891E-4</v>
      </c>
      <c r="T91" s="14">
        <f t="shared" si="49"/>
        <v>-0.59250925575045965</v>
      </c>
      <c r="U91" s="14">
        <f t="shared" si="65"/>
        <v>-0.11253375479675612</v>
      </c>
      <c r="V91" s="14">
        <f t="shared" si="66"/>
        <v>-17.877289516393141</v>
      </c>
      <c r="W91" s="14">
        <f t="shared" si="67"/>
        <v>-9.9600101489513621E-2</v>
      </c>
      <c r="X91" s="14">
        <f t="shared" si="69"/>
        <v>-227.21529947317407</v>
      </c>
      <c r="Y91" s="14">
        <f t="shared" si="68"/>
        <v>1603.349524971977</v>
      </c>
      <c r="Z91" s="14">
        <f t="shared" si="50"/>
        <v>-1615.4904241666036</v>
      </c>
      <c r="AA91" s="14">
        <f t="shared" si="51"/>
        <v>-12.140899194626627</v>
      </c>
      <c r="AC91">
        <f t="shared" si="52"/>
        <v>0</v>
      </c>
      <c r="AD91">
        <f t="shared" si="53"/>
        <v>3.1713695037811942E-10</v>
      </c>
      <c r="AE91">
        <f t="shared" si="54"/>
        <v>7.8030129057132802E-5</v>
      </c>
      <c r="AF91">
        <f t="shared" si="55"/>
        <v>24.730575130419059</v>
      </c>
      <c r="AG91">
        <f t="shared" si="56"/>
        <v>130.85879786656523</v>
      </c>
    </row>
    <row r="92" spans="1:33">
      <c r="A92" s="5">
        <v>43922</v>
      </c>
      <c r="B92" s="20">
        <v>2448</v>
      </c>
      <c r="C92" s="21">
        <v>504.75</v>
      </c>
      <c r="D92" s="21">
        <v>35.182492449999998</v>
      </c>
      <c r="E92">
        <f t="shared" si="57"/>
        <v>0.24657534246575341</v>
      </c>
      <c r="F92">
        <f t="shared" si="70"/>
        <v>2.7397260273972603E-3</v>
      </c>
      <c r="G92">
        <f t="shared" si="58"/>
        <v>-1.0035120659129182</v>
      </c>
      <c r="H92">
        <f t="shared" si="59"/>
        <v>-1.1782154934768883</v>
      </c>
      <c r="I92" s="1">
        <f t="shared" si="71"/>
        <v>0.84219307089822304</v>
      </c>
      <c r="J92" s="1">
        <f t="shared" si="72"/>
        <v>0.88064464630661143</v>
      </c>
      <c r="K92">
        <f t="shared" si="60"/>
        <v>-0.83740966726535004</v>
      </c>
      <c r="L92">
        <f t="shared" si="61"/>
        <v>5.6059386768076151E-4</v>
      </c>
      <c r="M92">
        <f t="shared" si="62"/>
        <v>-237.89639915896313</v>
      </c>
      <c r="N92">
        <f t="shared" si="63"/>
        <v>291.43883204889204</v>
      </c>
      <c r="O92">
        <f t="shared" si="64"/>
        <v>-639.52110589070105</v>
      </c>
      <c r="Q92" s="14">
        <v>1</v>
      </c>
      <c r="R92" s="14">
        <v>-0.55339350641251006</v>
      </c>
      <c r="S92" s="14">
        <v>7.3292455044265416E-4</v>
      </c>
      <c r="T92" s="14">
        <f t="shared" si="49"/>
        <v>-0.48660323038709424</v>
      </c>
      <c r="U92" s="14">
        <f t="shared" si="65"/>
        <v>-9.636489930979994E-2</v>
      </c>
      <c r="V92" s="14">
        <f t="shared" si="66"/>
        <v>-39.418225164113636</v>
      </c>
      <c r="W92" s="14">
        <f t="shared" si="67"/>
        <v>-0.27133388558022253</v>
      </c>
      <c r="X92" s="14">
        <f t="shared" si="69"/>
        <v>-259.25795008951854</v>
      </c>
      <c r="Y92" s="14">
        <f t="shared" si="68"/>
        <v>1304.3350825510247</v>
      </c>
      <c r="Z92" s="14">
        <f t="shared" si="50"/>
        <v>-1305.1128970953012</v>
      </c>
      <c r="AA92" s="14">
        <f t="shared" si="51"/>
        <v>-0.77781454427645258</v>
      </c>
      <c r="AC92">
        <f t="shared" si="52"/>
        <v>0</v>
      </c>
      <c r="AD92">
        <f t="shared" si="53"/>
        <v>3.6642504241236697E-10</v>
      </c>
      <c r="AE92">
        <f t="shared" si="54"/>
        <v>1.1246522440386264E-4</v>
      </c>
      <c r="AF92">
        <f t="shared" si="55"/>
        <v>19.651451729332404</v>
      </c>
      <c r="AG92">
        <f t="shared" si="56"/>
        <v>102.5476725277276</v>
      </c>
    </row>
    <row r="93" spans="1:33">
      <c r="A93" s="5">
        <v>43923</v>
      </c>
      <c r="B93" s="20">
        <v>2516.5</v>
      </c>
      <c r="C93" s="21">
        <v>436.5</v>
      </c>
      <c r="D93" s="21">
        <v>31.630679369999999</v>
      </c>
      <c r="E93">
        <f t="shared" si="57"/>
        <v>0.24383561643835616</v>
      </c>
      <c r="F93">
        <f t="shared" si="70"/>
        <v>2.7397260273972603E-3</v>
      </c>
      <c r="G93">
        <f t="shared" si="58"/>
        <v>-0.96507977566661995</v>
      </c>
      <c r="H93">
        <f t="shared" si="59"/>
        <v>-1.1212711660676971</v>
      </c>
      <c r="I93" s="1">
        <f t="shared" si="71"/>
        <v>0.83274757205535344</v>
      </c>
      <c r="J93" s="1">
        <f t="shared" si="72"/>
        <v>0.8689137724425966</v>
      </c>
      <c r="K93">
        <f t="shared" si="60"/>
        <v>-0.82807022099590366</v>
      </c>
      <c r="L93">
        <f t="shared" si="61"/>
        <v>6.3352456222696171E-4</v>
      </c>
      <c r="M93">
        <f t="shared" si="62"/>
        <v>-231.68924082656</v>
      </c>
      <c r="N93">
        <f t="shared" si="63"/>
        <v>309.43040731731526</v>
      </c>
      <c r="O93">
        <f t="shared" si="64"/>
        <v>-624.00250452632292</v>
      </c>
      <c r="Q93" s="14">
        <v>1</v>
      </c>
      <c r="R93" s="14">
        <v>-0.58502814210351028</v>
      </c>
      <c r="S93" s="14">
        <v>4.2123779957028274E-4</v>
      </c>
      <c r="T93" s="14">
        <f t="shared" si="49"/>
        <v>-0.48983295976782265</v>
      </c>
      <c r="U93" s="14">
        <f t="shared" si="65"/>
        <v>-7.5390957564174021E-2</v>
      </c>
      <c r="V93" s="14">
        <f t="shared" si="66"/>
        <v>5.1880802533240367</v>
      </c>
      <c r="W93" s="14">
        <f t="shared" si="67"/>
        <v>0.13605126675579013</v>
      </c>
      <c r="X93" s="14">
        <f t="shared" si="69"/>
        <v>8.1276139866030377</v>
      </c>
      <c r="Y93" s="14">
        <f t="shared" si="68"/>
        <v>1317.7353799090786</v>
      </c>
      <c r="Z93" s="14">
        <f t="shared" si="50"/>
        <v>-1321.675388261189</v>
      </c>
      <c r="AA93" s="14">
        <f t="shared" si="51"/>
        <v>-3.9400083521104534</v>
      </c>
      <c r="AC93">
        <f t="shared" si="52"/>
        <v>0</v>
      </c>
      <c r="AD93">
        <f t="shared" si="53"/>
        <v>5.00391370227434E-10</v>
      </c>
      <c r="AE93">
        <f t="shared" si="54"/>
        <v>1.120751237666251E-4</v>
      </c>
      <c r="AF93">
        <f t="shared" si="55"/>
        <v>20.17923405546529</v>
      </c>
      <c r="AG93">
        <f t="shared" si="56"/>
        <v>100.2170696949721</v>
      </c>
    </row>
    <row r="94" spans="1:33">
      <c r="A94" s="5">
        <v>43924</v>
      </c>
      <c r="B94" s="20">
        <v>2482.75</v>
      </c>
      <c r="C94" s="21">
        <v>469</v>
      </c>
      <c r="D94" s="21">
        <v>31.865699589999998</v>
      </c>
      <c r="E94">
        <f t="shared" si="57"/>
        <v>0.24109589041095891</v>
      </c>
      <c r="F94">
        <f t="shared" si="70"/>
        <v>2.7397260273972603E-3</v>
      </c>
      <c r="G94">
        <f t="shared" si="58"/>
        <v>-1.049123928844542</v>
      </c>
      <c r="H94">
        <f t="shared" si="59"/>
        <v>-1.2055893456648006</v>
      </c>
      <c r="I94" s="1">
        <f t="shared" si="71"/>
        <v>0.85293945788065051</v>
      </c>
      <c r="J94" s="1">
        <f t="shared" si="72"/>
        <v>0.88601206534933619</v>
      </c>
      <c r="K94">
        <f t="shared" si="60"/>
        <v>-0.84820237270955678</v>
      </c>
      <c r="L94">
        <f t="shared" si="61"/>
        <v>5.8902603050226042E-4</v>
      </c>
      <c r="M94">
        <f t="shared" si="62"/>
        <v>-215.50100459350276</v>
      </c>
      <c r="N94">
        <f t="shared" si="63"/>
        <v>278.94188675389313</v>
      </c>
      <c r="O94">
        <f t="shared" si="64"/>
        <v>-629.14380606877648</v>
      </c>
      <c r="Q94" s="14">
        <v>1</v>
      </c>
      <c r="R94" s="14">
        <v>-0.41789348740087234</v>
      </c>
      <c r="S94" s="14">
        <v>4.6503082964209809E-4</v>
      </c>
      <c r="T94" s="14">
        <f t="shared" si="49"/>
        <v>-0.35947232688255149</v>
      </c>
      <c r="U94" s="14">
        <f t="shared" si="65"/>
        <v>-7.8014943348861401E-2</v>
      </c>
      <c r="V94" s="14">
        <f t="shared" si="66"/>
        <v>-28.371107635772791</v>
      </c>
      <c r="W94" s="14">
        <f t="shared" si="67"/>
        <v>-2.05389311036814E-2</v>
      </c>
      <c r="X94" s="14">
        <f t="shared" si="69"/>
        <v>-323.65286129590697</v>
      </c>
      <c r="Y94" s="14">
        <f t="shared" si="68"/>
        <v>965.63704589220004</v>
      </c>
      <c r="Z94" s="14">
        <f t="shared" si="50"/>
        <v>-959.69923959485061</v>
      </c>
      <c r="AA94" s="14">
        <f t="shared" si="51"/>
        <v>5.9378062973494252</v>
      </c>
      <c r="AC94">
        <f t="shared" si="52"/>
        <v>0</v>
      </c>
      <c r="AD94">
        <f t="shared" si="53"/>
        <v>3.7148511733935133E-10</v>
      </c>
      <c r="AE94">
        <f t="shared" si="54"/>
        <v>1.4275885077028039E-4</v>
      </c>
      <c r="AF94">
        <f t="shared" si="55"/>
        <v>14.657668080927806</v>
      </c>
      <c r="AG94">
        <f t="shared" si="56"/>
        <v>70.435266377229581</v>
      </c>
    </row>
    <row r="95" spans="1:33">
      <c r="A95" s="5">
        <v>43927</v>
      </c>
      <c r="B95" s="20">
        <v>2644.5</v>
      </c>
      <c r="C95" s="21">
        <v>311.5</v>
      </c>
      <c r="D95" s="21">
        <v>28.648017750000001</v>
      </c>
      <c r="E95">
        <f t="shared" si="57"/>
        <v>0.23287671232876711</v>
      </c>
      <c r="F95">
        <f t="shared" si="70"/>
        <v>8.21917808219178E-3</v>
      </c>
      <c r="G95">
        <f t="shared" si="58"/>
        <v>-0.74927980993970311</v>
      </c>
      <c r="H95">
        <f t="shared" si="59"/>
        <v>-0.88752741219825038</v>
      </c>
      <c r="I95" s="1">
        <f t="shared" si="71"/>
        <v>0.77315571287389162</v>
      </c>
      <c r="J95" s="1">
        <f t="shared" si="72"/>
        <v>0.81260249273800955</v>
      </c>
      <c r="K95">
        <f t="shared" si="60"/>
        <v>-0.76900772573759835</v>
      </c>
      <c r="L95">
        <f t="shared" si="61"/>
        <v>8.1971289234043418E-4</v>
      </c>
      <c r="M95">
        <f t="shared" si="62"/>
        <v>-266.17937616889861</v>
      </c>
      <c r="N95">
        <f t="shared" si="63"/>
        <v>382.44549252477475</v>
      </c>
      <c r="O95">
        <f t="shared" si="64"/>
        <v>-557.37644220740538</v>
      </c>
      <c r="Q95" s="14">
        <v>1</v>
      </c>
      <c r="R95" s="14">
        <v>-0.8038273498465669</v>
      </c>
      <c r="S95" s="14">
        <v>-2.3571349822020518E-3</v>
      </c>
      <c r="T95" s="14">
        <f t="shared" si="49"/>
        <v>-0.58528564374206904</v>
      </c>
      <c r="U95" s="14">
        <f t="shared" si="65"/>
        <v>-0.16946501425478944</v>
      </c>
      <c r="V95" s="14">
        <f t="shared" si="66"/>
        <v>35.21646494816963</v>
      </c>
      <c r="W95" s="14">
        <f t="shared" si="67"/>
        <v>0.87910465038945262</v>
      </c>
      <c r="X95" s="14">
        <f t="shared" si="69"/>
        <v>597.16331643499416</v>
      </c>
      <c r="Y95" s="14">
        <f t="shared" si="68"/>
        <v>1598.7796445527392</v>
      </c>
      <c r="Z95" s="14">
        <f t="shared" si="50"/>
        <v>-1604.3713780963567</v>
      </c>
      <c r="AA95" s="14">
        <f t="shared" si="51"/>
        <v>-5.5917335436174653</v>
      </c>
      <c r="AC95">
        <f t="shared" si="52"/>
        <v>0</v>
      </c>
      <c r="AD95">
        <f t="shared" si="53"/>
        <v>-7.5224996045654413E-18</v>
      </c>
      <c r="AE95">
        <f t="shared" si="54"/>
        <v>1.6636692024007971E-12</v>
      </c>
      <c r="AF95">
        <f t="shared" si="55"/>
        <v>21.142411889086176</v>
      </c>
      <c r="AG95">
        <f t="shared" si="56"/>
        <v>105.0178151489671</v>
      </c>
    </row>
    <row r="96" spans="1:33">
      <c r="A96" s="5">
        <v>43928</v>
      </c>
      <c r="B96" s="20">
        <v>2642</v>
      </c>
      <c r="C96" s="21">
        <v>315.25</v>
      </c>
      <c r="D96" s="21">
        <v>30.755231899999998</v>
      </c>
      <c r="E96">
        <f t="shared" si="57"/>
        <v>0.23013698630136986</v>
      </c>
      <c r="F96">
        <f t="shared" si="70"/>
        <v>2.7397260273972603E-3</v>
      </c>
      <c r="G96">
        <f t="shared" si="58"/>
        <v>-0.69918994040457139</v>
      </c>
      <c r="H96">
        <f t="shared" si="59"/>
        <v>-0.84673076855445784</v>
      </c>
      <c r="I96" s="1">
        <f t="shared" si="71"/>
        <v>0.75778333178112756</v>
      </c>
      <c r="J96" s="1">
        <f t="shared" si="72"/>
        <v>0.8014273976942865</v>
      </c>
      <c r="K96">
        <f t="shared" si="60"/>
        <v>-0.75376552015825959</v>
      </c>
      <c r="L96">
        <f t="shared" si="61"/>
        <v>7.972604627874357E-4</v>
      </c>
      <c r="M96">
        <f t="shared" si="62"/>
        <v>-293.37937218365715</v>
      </c>
      <c r="N96">
        <f t="shared" si="63"/>
        <v>393.88666819408888</v>
      </c>
      <c r="O96">
        <f t="shared" si="64"/>
        <v>-543.25405460255661</v>
      </c>
      <c r="Q96" s="14">
        <v>1</v>
      </c>
      <c r="R96" s="14">
        <v>-0.81744220387336874</v>
      </c>
      <c r="S96" s="14">
        <v>-1.7445262145344642E-4</v>
      </c>
      <c r="T96" s="14">
        <f t="shared" si="49"/>
        <v>-0.60029470754606351</v>
      </c>
      <c r="U96" s="14">
        <f t="shared" si="65"/>
        <v>-9.795899056187729E-2</v>
      </c>
      <c r="V96" s="14">
        <f t="shared" si="66"/>
        <v>1.3206408405997792</v>
      </c>
      <c r="W96" s="14">
        <f t="shared" si="67"/>
        <v>-0.68809061422599793</v>
      </c>
      <c r="X96" s="14">
        <f t="shared" si="69"/>
        <v>39.653946570153394</v>
      </c>
      <c r="Y96" s="14">
        <f t="shared" si="68"/>
        <v>1638.9975300900282</v>
      </c>
      <c r="Z96" s="14">
        <f t="shared" si="50"/>
        <v>-1644.8255073013297</v>
      </c>
      <c r="AA96" s="14">
        <f t="shared" si="51"/>
        <v>-5.8279772113014587</v>
      </c>
      <c r="AC96">
        <f t="shared" si="52"/>
        <v>0</v>
      </c>
      <c r="AD96">
        <f t="shared" si="53"/>
        <v>2.4147901446959828E-10</v>
      </c>
      <c r="AE96">
        <f t="shared" si="54"/>
        <v>-5.3175380765324576E-12</v>
      </c>
      <c r="AF96">
        <f t="shared" si="55"/>
        <v>25.41343203394462</v>
      </c>
      <c r="AG96">
        <f t="shared" si="56"/>
        <v>102.34821647627646</v>
      </c>
    </row>
    <row r="97" spans="1:33">
      <c r="A97" s="5">
        <v>43929</v>
      </c>
      <c r="B97" s="20">
        <v>2735</v>
      </c>
      <c r="C97" s="21">
        <v>231</v>
      </c>
      <c r="D97" s="21">
        <v>29.747837050000001</v>
      </c>
      <c r="E97">
        <f>($E$69-A97)/365</f>
        <v>0.22739726027397261</v>
      </c>
      <c r="F97">
        <f>(A97-A96)/365</f>
        <v>2.7397260273972603E-3</v>
      </c>
      <c r="G97">
        <f t="shared" si="58"/>
        <v>-0.48881559993413282</v>
      </c>
      <c r="H97">
        <f t="shared" si="59"/>
        <v>-0.63067169734460116</v>
      </c>
      <c r="I97" s="1">
        <f t="shared" si="71"/>
        <v>0.68751387366151484</v>
      </c>
      <c r="J97" s="1">
        <f t="shared" si="72"/>
        <v>0.73587239573393648</v>
      </c>
      <c r="K97">
        <f>-EXP(-$B$70*$E97)*I97</f>
        <v>-0.68391191664552964</v>
      </c>
      <c r="L97">
        <f>(1/SQRT(2*PI()))*EXP(-(G97^2)/2)/(B97*D97/100*SQRT(E97))*EXP(-$B$70*E97)</f>
        <v>9.0769118992769116E-4</v>
      </c>
      <c r="M97">
        <f>-(1/SQRT(2*PI()))*EXP(-(G97^2)/2)*B97*D97/100*EXP(-$B$70*E97)/(2*SQRT(E97))-($B$70*EXP(-$B$70*E97)*B97*I97)+($B$71*$B$69*EXP(-$B$71*E97)*J97)</f>
        <v>-329.10942696300373</v>
      </c>
      <c r="N97">
        <f>(1/SQRT(2*PI()))*EXP(-(G97^2)/2)*B97*EXP(-$B$70*E97)*SQRT(E97)</f>
        <v>459.29678277318152</v>
      </c>
      <c r="O97">
        <f>-E97*EXP(-$B$71*E97)*$B$69*J97</f>
        <v>-492.88781445344603</v>
      </c>
      <c r="Q97" s="14">
        <v>1</v>
      </c>
      <c r="R97" s="14">
        <v>-1.0643331890024765</v>
      </c>
      <c r="S97" s="14">
        <v>-5.9997687582298976E-4</v>
      </c>
      <c r="T97" s="14">
        <f t="shared" si="49"/>
        <v>-0.6837991433420737</v>
      </c>
      <c r="U97" s="14">
        <f t="shared" si="65"/>
        <v>-0.10037606956684603</v>
      </c>
      <c r="V97" s="14">
        <f t="shared" si="66"/>
        <v>15.122072839157852</v>
      </c>
      <c r="W97" s="14">
        <f t="shared" si="67"/>
        <v>9.8296102759364526E-2</v>
      </c>
      <c r="X97" s="14">
        <f t="shared" si="69"/>
        <v>228.38463190208788</v>
      </c>
      <c r="Y97" s="14">
        <f t="shared" si="68"/>
        <v>1882.5322408486841</v>
      </c>
      <c r="Z97" s="14">
        <f t="shared" si="50"/>
        <v>-1894.7696595252883</v>
      </c>
      <c r="AA97" s="14">
        <f t="shared" si="51"/>
        <v>-12.237418676604193</v>
      </c>
      <c r="AC97">
        <f t="shared" si="52"/>
        <v>0</v>
      </c>
      <c r="AD97">
        <f t="shared" si="53"/>
        <v>1.3980278794432227E-17</v>
      </c>
      <c r="AE97">
        <f t="shared" si="54"/>
        <v>-1.5360955649079688E-5</v>
      </c>
      <c r="AF97">
        <f t="shared" si="55"/>
        <v>29.233357959349863</v>
      </c>
      <c r="AG97">
        <f t="shared" si="56"/>
        <v>112.73041787770586</v>
      </c>
    </row>
    <row r="98" spans="1:33">
      <c r="A98" s="5">
        <v>43930</v>
      </c>
      <c r="B98" s="20">
        <v>2779.75</v>
      </c>
      <c r="C98" s="21">
        <v>195.25</v>
      </c>
      <c r="D98" s="21">
        <v>30.739784490000002</v>
      </c>
      <c r="E98">
        <f>($E$69-A98)/365</f>
        <v>0.22465753424657534</v>
      </c>
      <c r="F98">
        <f>(A98-A97)/365</f>
        <v>2.7397260273972603E-3</v>
      </c>
      <c r="G98">
        <f t="shared" si="58"/>
        <v>-0.36042563047635451</v>
      </c>
      <c r="H98">
        <f t="shared" si="59"/>
        <v>-0.50612622114308514</v>
      </c>
      <c r="I98" s="1">
        <f t="shared" si="71"/>
        <v>0.64073556877002447</v>
      </c>
      <c r="J98" s="1">
        <f t="shared" si="72"/>
        <v>0.69361597792818586</v>
      </c>
      <c r="K98">
        <f>-EXP(-$B$70*$E98)*I98</f>
        <v>-0.63741902767014302</v>
      </c>
      <c r="L98">
        <f>(1/SQRT(2*PI()))*EXP(-(G98^2)/2)/(B98*D98/100*SQRT(E98))*EXP(-$B$70*E98)</f>
        <v>9.1829101976787875E-4</v>
      </c>
      <c r="M98">
        <f>-(1/SQRT(2*PI()))*EXP(-(G98^2)/2)*B98*D98/100*EXP(-$B$70*E98)/(2*SQRT(E98))-($B$70*EXP(-$B$70*E98)*B98*I98)+($B$71*$B$69*EXP(-$B$71*E98)*J98)</f>
        <v>-362.48727940416035</v>
      </c>
      <c r="N98">
        <f>(1/SQRT(2*PI()))*EXP(-(G98^2)/2)*B98*EXP(-$B$70*E98)*SQRT(E98)</f>
        <v>490.01979175531028</v>
      </c>
      <c r="O98">
        <f>-E98*EXP(-$B$71*E98)*$B$69*J98</f>
        <v>-458.99546047716791</v>
      </c>
      <c r="Q98" s="14">
        <v>1</v>
      </c>
      <c r="R98" s="14">
        <v>-1.2126885596085415</v>
      </c>
      <c r="S98" s="14">
        <v>-7.7682807888125973E-4</v>
      </c>
      <c r="T98" s="14">
        <f t="shared" si="49"/>
        <v>-0.72333958559147093</v>
      </c>
      <c r="U98" s="14">
        <f t="shared" si="65"/>
        <v>-0.11836375688948955</v>
      </c>
      <c r="V98" s="14">
        <f t="shared" si="66"/>
        <v>7.1581466317426345</v>
      </c>
      <c r="W98" s="14">
        <f t="shared" si="67"/>
        <v>3.4530197397127212E-2</v>
      </c>
      <c r="X98" s="14">
        <f t="shared" si="69"/>
        <v>109.91254434276196</v>
      </c>
      <c r="Y98" s="14">
        <f t="shared" si="68"/>
        <v>1999.5536546521273</v>
      </c>
      <c r="Z98" s="14">
        <f t="shared" si="50"/>
        <v>-2011.867111731405</v>
      </c>
      <c r="AA98" s="14">
        <f t="shared" si="51"/>
        <v>-12.313457079277669</v>
      </c>
      <c r="AC98">
        <f t="shared" si="52"/>
        <v>0</v>
      </c>
      <c r="AD98">
        <f t="shared" si="53"/>
        <v>8.2068211617492539E-11</v>
      </c>
      <c r="AE98">
        <f t="shared" si="54"/>
        <v>-4.5757402506230171E-5</v>
      </c>
      <c r="AF98">
        <f t="shared" si="55"/>
        <v>30.973195843268606</v>
      </c>
      <c r="AG98">
        <f t="shared" si="56"/>
        <v>114.39763192449747</v>
      </c>
    </row>
    <row r="99" spans="1:33">
      <c r="I99" s="1"/>
      <c r="J99" s="1"/>
    </row>
  </sheetData>
  <mergeCells count="12">
    <mergeCell ref="AC72:AG72"/>
    <mergeCell ref="AC41:AG41"/>
    <mergeCell ref="AC10:AG10"/>
    <mergeCell ref="C73:D73"/>
    <mergeCell ref="G73:O73"/>
    <mergeCell ref="Q73:T73"/>
    <mergeCell ref="C42:D42"/>
    <mergeCell ref="G42:O42"/>
    <mergeCell ref="C11:D11"/>
    <mergeCell ref="G11:O11"/>
    <mergeCell ref="Q11:R11"/>
    <mergeCell ref="Q42:S42"/>
  </mergeCells>
  <pageMargins left="0.7" right="0.7" top="0.75" bottom="0.75" header="0.3" footer="0.3"/>
  <pageSetup orientation="landscape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7F4C1-AB9D-8347-B84A-D36CFD7958E6}">
  <sheetPr codeName="Sheet1"/>
  <dimension ref="A1:AG76"/>
  <sheetViews>
    <sheetView zoomScale="69" zoomScaleNormal="75" workbookViewId="0">
      <selection activeCell="L14" sqref="L14"/>
    </sheetView>
  </sheetViews>
  <sheetFormatPr baseColWidth="10" defaultRowHeight="16"/>
  <cols>
    <col min="1" max="2" width="11" bestFit="1" customWidth="1"/>
    <col min="3" max="3" width="16.33203125" customWidth="1"/>
    <col min="4" max="11" width="11" bestFit="1" customWidth="1"/>
    <col min="12" max="12" width="7" customWidth="1"/>
    <col min="13" max="15" width="11" bestFit="1" customWidth="1"/>
    <col min="17" max="17" width="15.33203125" customWidth="1"/>
    <col min="18" max="18" width="15.83203125" customWidth="1"/>
    <col min="19" max="19" width="13.1640625" bestFit="1" customWidth="1"/>
    <col min="20" max="20" width="17.33203125" customWidth="1"/>
    <col min="21" max="21" width="17.83203125" customWidth="1"/>
    <col min="22" max="22" width="13.5" bestFit="1" customWidth="1"/>
    <col min="23" max="23" width="13.1640625" customWidth="1"/>
    <col min="24" max="24" width="13.6640625" bestFit="1" customWidth="1"/>
    <col min="25" max="25" width="13" bestFit="1" customWidth="1"/>
    <col min="26" max="26" width="13.6640625" bestFit="1" customWidth="1"/>
    <col min="27" max="27" width="12.5" bestFit="1" customWidth="1"/>
    <col min="29" max="29" width="11.1640625" bestFit="1" customWidth="1"/>
    <col min="30" max="30" width="13" bestFit="1" customWidth="1"/>
    <col min="31" max="31" width="21.5" customWidth="1"/>
    <col min="32" max="32" width="13" bestFit="1" customWidth="1"/>
  </cols>
  <sheetData>
    <row r="1" spans="1:33">
      <c r="A1" s="2"/>
      <c r="D1" s="5">
        <v>43951</v>
      </c>
    </row>
    <row r="2" spans="1:33">
      <c r="A2" t="s">
        <v>12</v>
      </c>
      <c r="B2">
        <v>2860</v>
      </c>
    </row>
    <row r="3" spans="1:33">
      <c r="A3" t="s">
        <v>20</v>
      </c>
      <c r="B3" s="6">
        <v>2.3099999999999999E-2</v>
      </c>
      <c r="D3" s="5">
        <v>43476</v>
      </c>
    </row>
    <row r="4" spans="1:33">
      <c r="A4" t="s">
        <v>21</v>
      </c>
      <c r="B4" s="6">
        <v>6.7000000000000002E-3</v>
      </c>
    </row>
    <row r="6" spans="1:33">
      <c r="A6" t="s">
        <v>34</v>
      </c>
    </row>
    <row r="7" spans="1:33" ht="18">
      <c r="A7" s="2" t="s">
        <v>55</v>
      </c>
      <c r="B7" s="2" t="s">
        <v>57</v>
      </c>
      <c r="E7" s="16" t="s">
        <v>60</v>
      </c>
    </row>
    <row r="9" spans="1:33" ht="18">
      <c r="A9" t="s">
        <v>55</v>
      </c>
      <c r="B9" t="s">
        <v>58</v>
      </c>
      <c r="D9" s="16" t="s">
        <v>59</v>
      </c>
    </row>
    <row r="10" spans="1:33" ht="21">
      <c r="Q10" s="7" t="s">
        <v>29</v>
      </c>
      <c r="S10" t="s">
        <v>31</v>
      </c>
      <c r="AC10" s="46" t="s">
        <v>54</v>
      </c>
      <c r="AD10" s="46"/>
      <c r="AE10" s="46"/>
      <c r="AF10" s="46"/>
      <c r="AG10" s="46"/>
    </row>
    <row r="11" spans="1:33">
      <c r="C11" s="45" t="s">
        <v>16</v>
      </c>
      <c r="D11" s="45"/>
      <c r="G11" s="45" t="s">
        <v>22</v>
      </c>
      <c r="H11" s="45"/>
      <c r="I11" s="45"/>
      <c r="J11" s="45"/>
      <c r="K11" s="45"/>
      <c r="L11" s="45"/>
      <c r="M11" s="45"/>
      <c r="N11" s="45"/>
      <c r="O11" s="45"/>
      <c r="Q11" s="48" t="s">
        <v>23</v>
      </c>
      <c r="R11" s="48"/>
      <c r="S11" s="13"/>
      <c r="T11" s="13"/>
      <c r="U11" s="13"/>
      <c r="V11" s="13"/>
      <c r="W11" s="13"/>
      <c r="AC11" s="3"/>
      <c r="AD11" s="3"/>
      <c r="AE11" s="3"/>
      <c r="AF11" s="3"/>
      <c r="AG11" s="3"/>
    </row>
    <row r="12" spans="1:33">
      <c r="A12" s="3" t="s">
        <v>10</v>
      </c>
      <c r="B12" s="2" t="s">
        <v>14</v>
      </c>
      <c r="C12" s="2" t="s">
        <v>56</v>
      </c>
      <c r="D12" s="2" t="s">
        <v>11</v>
      </c>
      <c r="E12" t="s">
        <v>15</v>
      </c>
      <c r="F12" s="2" t="s">
        <v>17</v>
      </c>
      <c r="G12" s="2" t="s">
        <v>0</v>
      </c>
      <c r="H12" s="2" t="s">
        <v>2</v>
      </c>
      <c r="I12" s="2" t="s">
        <v>1</v>
      </c>
      <c r="J12" s="2" t="s">
        <v>3</v>
      </c>
      <c r="K12" s="2" t="s">
        <v>4</v>
      </c>
      <c r="L12" s="2" t="s">
        <v>18</v>
      </c>
      <c r="M12" s="2" t="s">
        <v>19</v>
      </c>
      <c r="N12" s="2" t="s">
        <v>5</v>
      </c>
      <c r="O12" s="2" t="s">
        <v>6</v>
      </c>
      <c r="Q12" s="13" t="s">
        <v>22</v>
      </c>
      <c r="R12" s="13" t="s">
        <v>30</v>
      </c>
      <c r="S12" s="13" t="s">
        <v>24</v>
      </c>
      <c r="T12" s="13" t="s">
        <v>26</v>
      </c>
      <c r="U12" s="13" t="s">
        <v>25</v>
      </c>
      <c r="V12" s="13" t="s">
        <v>28</v>
      </c>
      <c r="W12" s="9" t="s">
        <v>27</v>
      </c>
      <c r="AC12" s="3" t="s">
        <v>4</v>
      </c>
      <c r="AD12" s="3" t="s">
        <v>7</v>
      </c>
      <c r="AE12" s="3" t="s">
        <v>5</v>
      </c>
      <c r="AF12" s="3" t="s">
        <v>48</v>
      </c>
      <c r="AG12" s="3" t="s">
        <v>6</v>
      </c>
    </row>
    <row r="13" spans="1:33">
      <c r="A13" s="5">
        <v>43899</v>
      </c>
      <c r="B13" s="28">
        <v>2735.25</v>
      </c>
      <c r="C13" s="28">
        <v>123</v>
      </c>
      <c r="D13" s="28">
        <v>49.605314341043098</v>
      </c>
      <c r="E13">
        <f t="shared" ref="E13:E36" si="0">($D$1-A13)/365</f>
        <v>0.14246575342465753</v>
      </c>
      <c r="G13">
        <f t="shared" ref="G13:G36" si="1">(LN($B13/$B$2)+($B$4-$B$3+1/2*($D13/100)^2)*$E13)/($D13/100*SQRT($E13))</f>
        <v>-0.15706082724431986</v>
      </c>
      <c r="H13">
        <f t="shared" ref="H13:H36" si="2">G13-$D13/100*SQRT($E13)</f>
        <v>-0.34429427976804494</v>
      </c>
      <c r="I13" s="1">
        <f t="shared" ref="I13:I36" si="3">_xlfn.NORM.S.DIST($G13,TRUE)</f>
        <v>0.43759845484353305</v>
      </c>
      <c r="J13" s="1">
        <f t="shared" ref="J13:J36" si="4">_xlfn.NORM.S.DIST($H13,TRUE)</f>
        <v>0.36531249286031087</v>
      </c>
      <c r="K13">
        <f t="shared" ref="K13:K36" si="5">EXP(-$B$3*$E13)*I13</f>
        <v>0.4361607034002179</v>
      </c>
      <c r="L13">
        <f t="shared" ref="L13:L36" si="6">(1/SQRT(2*PI()))*EXP(-(G13^2)/2)/(B13*D13/100*SQRT(E13))*EXP(-$B$3*E13)</f>
        <v>7.6690882900628133E-4</v>
      </c>
      <c r="M13">
        <f t="shared" ref="M13:M36" si="7">-(1/SQRT(2*PI()))*EXP(-(G13^2)/2)*B13*D13/100*EXP(-$B$3*E13)/(2*SQRT(E13))+($B$3*EXP(-$B$3*E13)*B13*I13)-($B$4*$B$2*EXP(-$B$4*E13)*J13)</f>
        <v>-685.36911718110741</v>
      </c>
      <c r="N13">
        <f t="shared" ref="N13:N36" si="8">(1/SQRT(2*PI()))*EXP(-(G13^2)/2)*B13*EXP(-$B$3*E13)*SQRT(E13)</f>
        <v>405.4865714673237</v>
      </c>
      <c r="O13">
        <f>E13*EXP(-$B$4*E13)*$B$2*J13</f>
        <v>148.70531581353907</v>
      </c>
      <c r="Q13" s="13">
        <v>1</v>
      </c>
      <c r="R13" s="13">
        <f t="shared" ref="R13:R36" si="9">-K13</f>
        <v>-0.4361607034002179</v>
      </c>
      <c r="S13" s="13"/>
      <c r="T13" s="13"/>
      <c r="U13" s="13">
        <f>-C13-R13*B13</f>
        <v>1070.0085639754459</v>
      </c>
      <c r="V13" s="13">
        <f t="shared" ref="V13:V36" si="10">R13*B13+C13</f>
        <v>-1070.0085639754459</v>
      </c>
      <c r="W13" s="13">
        <f t="shared" ref="W13:W36" si="11">U13+V13</f>
        <v>0</v>
      </c>
      <c r="AC13" s="3">
        <f t="shared" ref="AC13:AC36" si="12">Q13*K13+R13</f>
        <v>0</v>
      </c>
      <c r="AD13" s="3">
        <f t="shared" ref="AD13:AD36" si="13">Q13*L13</f>
        <v>7.6690882900628133E-4</v>
      </c>
      <c r="AE13" s="3">
        <f t="shared" ref="AE13:AE36" si="14">Q13*N13</f>
        <v>405.4865714673237</v>
      </c>
      <c r="AF13" s="3">
        <f t="shared" ref="AF13:AF36" si="15">Q13*M13</f>
        <v>-685.36911718110741</v>
      </c>
      <c r="AG13" s="3">
        <f t="shared" ref="AG13:AG36" si="16">Q13*O13</f>
        <v>148.70531581353907</v>
      </c>
    </row>
    <row r="14" spans="1:33">
      <c r="A14" s="5">
        <v>43900</v>
      </c>
      <c r="B14" s="28">
        <v>2854.25</v>
      </c>
      <c r="C14" s="28">
        <v>170.5</v>
      </c>
      <c r="D14" s="28">
        <v>48.115787723404097</v>
      </c>
      <c r="E14">
        <f t="shared" si="0"/>
        <v>0.13972602739726028</v>
      </c>
      <c r="F14">
        <f t="shared" ref="F14:F36" si="17">(A14-A13)/365</f>
        <v>2.7397260273972603E-3</v>
      </c>
      <c r="G14">
        <f t="shared" si="1"/>
        <v>6.5997980409736229E-2</v>
      </c>
      <c r="H14">
        <f t="shared" si="2"/>
        <v>-0.1138585685476397</v>
      </c>
      <c r="I14" s="1">
        <f t="shared" si="3"/>
        <v>0.52631028332482888</v>
      </c>
      <c r="J14" s="1">
        <f t="shared" si="4"/>
        <v>0.45467495471220398</v>
      </c>
      <c r="K14">
        <f t="shared" si="5"/>
        <v>0.5246142653304261</v>
      </c>
      <c r="L14">
        <f t="shared" si="6"/>
        <v>7.7293719145989103E-4</v>
      </c>
      <c r="M14">
        <f t="shared" si="7"/>
        <v>-703.02404013961518</v>
      </c>
      <c r="N14">
        <f t="shared" si="8"/>
        <v>423.34373399748483</v>
      </c>
      <c r="O14">
        <f t="shared" ref="O14:O36" si="18">E14*EXP(-$B$3*E14)*$B$2*J14</f>
        <v>181.11007781801899</v>
      </c>
      <c r="Q14" s="13">
        <v>1</v>
      </c>
      <c r="R14" s="13">
        <f t="shared" si="9"/>
        <v>-0.5246142653304261</v>
      </c>
      <c r="S14" s="13">
        <f t="shared" ref="S14:S36" si="19">(EXP($B$3*F14)-1)*B13*R13</f>
        <v>-7.5505123021478854E-2</v>
      </c>
      <c r="T14" s="13">
        <f t="shared" ref="T14:T36" si="20">(K14-K13)*B14</f>
        <v>252.46857913929676</v>
      </c>
      <c r="U14" s="13">
        <f t="shared" ref="U14:U36" si="21">U13*EXP(F14*$B$4)+S14+T14</f>
        <v>1322.4212794250836</v>
      </c>
      <c r="V14" s="13">
        <f t="shared" si="10"/>
        <v>-1326.8802668193687</v>
      </c>
      <c r="W14" s="13">
        <f t="shared" si="11"/>
        <v>-4.4589873942850318</v>
      </c>
      <c r="AC14" s="3">
        <f t="shared" si="12"/>
        <v>0</v>
      </c>
      <c r="AD14" s="3">
        <f t="shared" si="13"/>
        <v>7.7293719145989103E-4</v>
      </c>
      <c r="AE14" s="3">
        <f t="shared" si="14"/>
        <v>423.34373399748483</v>
      </c>
      <c r="AF14" s="3">
        <f t="shared" si="15"/>
        <v>-703.02404013961518</v>
      </c>
      <c r="AG14" s="3">
        <f t="shared" si="16"/>
        <v>181.11007781801899</v>
      </c>
    </row>
    <row r="15" spans="1:33">
      <c r="A15" s="5">
        <v>43901</v>
      </c>
      <c r="B15" s="28">
        <v>2729</v>
      </c>
      <c r="C15" s="28">
        <v>117</v>
      </c>
      <c r="D15" s="28">
        <v>50.1224266486864</v>
      </c>
      <c r="E15">
        <f t="shared" si="0"/>
        <v>0.13698630136986301</v>
      </c>
      <c r="F15">
        <f t="shared" si="17"/>
        <v>2.7397260273972603E-3</v>
      </c>
      <c r="G15">
        <f t="shared" si="1"/>
        <v>-0.17209567786322921</v>
      </c>
      <c r="H15">
        <f t="shared" si="2"/>
        <v>-0.35760710176848487</v>
      </c>
      <c r="I15" s="1">
        <f t="shared" si="3"/>
        <v>0.43168115531823503</v>
      </c>
      <c r="J15" s="1">
        <f t="shared" si="4"/>
        <v>0.36031868144424101</v>
      </c>
      <c r="K15">
        <f t="shared" si="5"/>
        <v>0.43031730957005987</v>
      </c>
      <c r="L15">
        <f t="shared" si="6"/>
        <v>7.7398111475909153E-4</v>
      </c>
      <c r="M15">
        <f t="shared" si="7"/>
        <v>-703.82603344130541</v>
      </c>
      <c r="N15">
        <f t="shared" si="8"/>
        <v>395.77345677156399</v>
      </c>
      <c r="O15">
        <f t="shared" si="18"/>
        <v>140.7199519847907</v>
      </c>
      <c r="Q15" s="13">
        <v>1</v>
      </c>
      <c r="R15" s="13">
        <f t="shared" si="9"/>
        <v>-0.43031730957005987</v>
      </c>
      <c r="S15" s="13">
        <f t="shared" si="19"/>
        <v>-9.476870885099381E-2</v>
      </c>
      <c r="T15" s="13">
        <f t="shared" si="20"/>
        <v>-257.33639227003943</v>
      </c>
      <c r="U15" s="13">
        <f t="shared" si="21"/>
        <v>1065.0143932513784</v>
      </c>
      <c r="V15" s="13">
        <f t="shared" si="10"/>
        <v>-1057.3359378166933</v>
      </c>
      <c r="W15" s="13">
        <f t="shared" si="11"/>
        <v>7.67845543468502</v>
      </c>
      <c r="AC15" s="3">
        <f t="shared" si="12"/>
        <v>0</v>
      </c>
      <c r="AD15" s="3">
        <f t="shared" si="13"/>
        <v>7.7398111475909153E-4</v>
      </c>
      <c r="AE15" s="3">
        <f t="shared" si="14"/>
        <v>395.77345677156399</v>
      </c>
      <c r="AF15" s="3">
        <f t="shared" si="15"/>
        <v>-703.82603344130541</v>
      </c>
      <c r="AG15" s="3">
        <f t="shared" si="16"/>
        <v>140.7199519847907</v>
      </c>
    </row>
    <row r="16" spans="1:33">
      <c r="A16" s="5">
        <v>43902</v>
      </c>
      <c r="B16" s="28">
        <v>2456</v>
      </c>
      <c r="C16" s="28">
        <v>53</v>
      </c>
      <c r="D16" s="28">
        <v>60.015213702971998</v>
      </c>
      <c r="E16">
        <f t="shared" si="0"/>
        <v>0.13424657534246576</v>
      </c>
      <c r="F16">
        <f t="shared" si="17"/>
        <v>2.7397260273972603E-3</v>
      </c>
      <c r="G16">
        <f t="shared" si="1"/>
        <v>-0.59261618503094571</v>
      </c>
      <c r="H16">
        <f t="shared" si="2"/>
        <v>-0.81250997503144251</v>
      </c>
      <c r="I16" s="1">
        <f t="shared" si="3"/>
        <v>0.27671902248061575</v>
      </c>
      <c r="J16" s="1">
        <f t="shared" si="4"/>
        <v>0.20824953259367535</v>
      </c>
      <c r="K16">
        <f t="shared" si="5"/>
        <v>0.27586221945801026</v>
      </c>
      <c r="L16">
        <f t="shared" si="6"/>
        <v>6.1781884915821912E-4</v>
      </c>
      <c r="M16">
        <f t="shared" si="7"/>
        <v>-659.47232892418708</v>
      </c>
      <c r="N16">
        <f t="shared" si="8"/>
        <v>300.24960970395995</v>
      </c>
      <c r="O16">
        <f t="shared" si="18"/>
        <v>79.708841154628303</v>
      </c>
      <c r="Q16" s="13">
        <v>1</v>
      </c>
      <c r="R16" s="13">
        <f t="shared" si="9"/>
        <v>-0.27586221945801026</v>
      </c>
      <c r="S16" s="13">
        <f t="shared" si="19"/>
        <v>-7.4323338600290306E-2</v>
      </c>
      <c r="T16" s="13">
        <f t="shared" si="20"/>
        <v>-379.34170131519386</v>
      </c>
      <c r="U16" s="13">
        <f t="shared" si="21"/>
        <v>685.61791835628628</v>
      </c>
      <c r="V16" s="13">
        <f t="shared" si="10"/>
        <v>-624.51761098887323</v>
      </c>
      <c r="W16" s="13">
        <f t="shared" si="11"/>
        <v>61.100307367413052</v>
      </c>
      <c r="AC16" s="3">
        <f t="shared" si="12"/>
        <v>0</v>
      </c>
      <c r="AD16" s="3">
        <f t="shared" si="13"/>
        <v>6.1781884915821912E-4</v>
      </c>
      <c r="AE16" s="3">
        <f t="shared" si="14"/>
        <v>300.24960970395995</v>
      </c>
      <c r="AF16" s="3">
        <f t="shared" si="15"/>
        <v>-659.47232892418708</v>
      </c>
      <c r="AG16" s="3">
        <f t="shared" si="16"/>
        <v>79.708841154628303</v>
      </c>
    </row>
    <row r="17" spans="1:33">
      <c r="A17" s="5">
        <v>43903</v>
      </c>
      <c r="B17" s="28">
        <v>2684</v>
      </c>
      <c r="C17" s="28">
        <v>95.5</v>
      </c>
      <c r="D17" s="28">
        <v>52.934236633719401</v>
      </c>
      <c r="E17">
        <f t="shared" si="0"/>
        <v>0.13150684931506848</v>
      </c>
      <c r="F17">
        <f t="shared" si="17"/>
        <v>2.7397260273972603E-3</v>
      </c>
      <c r="G17">
        <f t="shared" si="1"/>
        <v>-0.24612303578087061</v>
      </c>
      <c r="H17">
        <f t="shared" si="2"/>
        <v>-0.43808307984237155</v>
      </c>
      <c r="I17" s="1">
        <f t="shared" si="3"/>
        <v>0.40279349574107809</v>
      </c>
      <c r="J17" s="1">
        <f t="shared" si="4"/>
        <v>0.33066302972620942</v>
      </c>
      <c r="K17">
        <f t="shared" si="5"/>
        <v>0.40157174301387871</v>
      </c>
      <c r="L17">
        <f t="shared" si="6"/>
        <v>7.4893371120399871E-4</v>
      </c>
      <c r="M17">
        <f t="shared" si="7"/>
        <v>-737.31099445742814</v>
      </c>
      <c r="N17">
        <f t="shared" si="8"/>
        <v>375.57219296704795</v>
      </c>
      <c r="O17">
        <f t="shared" si="18"/>
        <v>123.98831083258077</v>
      </c>
      <c r="Q17" s="13">
        <v>1</v>
      </c>
      <c r="R17" s="13">
        <f t="shared" si="9"/>
        <v>-0.40157174301387871</v>
      </c>
      <c r="S17" s="13">
        <f t="shared" si="19"/>
        <v>-4.2879868688005661E-2</v>
      </c>
      <c r="T17" s="13">
        <f t="shared" si="20"/>
        <v>337.4043612239509</v>
      </c>
      <c r="U17" s="13">
        <f t="shared" si="21"/>
        <v>1022.9919851422726</v>
      </c>
      <c r="V17" s="13">
        <f t="shared" si="10"/>
        <v>-982.31855824925037</v>
      </c>
      <c r="W17" s="13">
        <f t="shared" si="11"/>
        <v>40.673426893022224</v>
      </c>
      <c r="AC17" s="3">
        <f t="shared" si="12"/>
        <v>0</v>
      </c>
      <c r="AD17" s="3">
        <f t="shared" si="13"/>
        <v>7.4893371120399871E-4</v>
      </c>
      <c r="AE17" s="3">
        <f t="shared" si="14"/>
        <v>375.57219296704795</v>
      </c>
      <c r="AF17" s="3">
        <f t="shared" si="15"/>
        <v>-737.31099445742814</v>
      </c>
      <c r="AG17" s="3">
        <f t="shared" si="16"/>
        <v>123.98831083258077</v>
      </c>
    </row>
    <row r="18" spans="1:33">
      <c r="A18" s="5">
        <v>43906</v>
      </c>
      <c r="B18" s="28">
        <v>2405.25</v>
      </c>
      <c r="C18" s="28">
        <v>48.75</v>
      </c>
      <c r="D18" s="28">
        <v>66.708981691977698</v>
      </c>
      <c r="E18">
        <f t="shared" si="0"/>
        <v>0.12328767123287671</v>
      </c>
      <c r="F18">
        <f t="shared" si="17"/>
        <v>8.21917808219178E-3</v>
      </c>
      <c r="G18">
        <f t="shared" si="1"/>
        <v>-0.63082053234074542</v>
      </c>
      <c r="H18">
        <f t="shared" si="2"/>
        <v>-0.86505140470618769</v>
      </c>
      <c r="I18" s="1">
        <f t="shared" si="3"/>
        <v>0.26407893832518703</v>
      </c>
      <c r="J18" s="1">
        <f t="shared" si="4"/>
        <v>0.19350528760037022</v>
      </c>
      <c r="K18">
        <f t="shared" si="5"/>
        <v>0.26332792590763132</v>
      </c>
      <c r="L18">
        <f t="shared" si="6"/>
        <v>5.7870664797547852E-4</v>
      </c>
      <c r="M18">
        <f t="shared" si="7"/>
        <v>-734.00761952451205</v>
      </c>
      <c r="N18">
        <f t="shared" si="8"/>
        <v>275.34860376022345</v>
      </c>
      <c r="O18">
        <f t="shared" si="18"/>
        <v>68.036454288696518</v>
      </c>
      <c r="Q18" s="13">
        <v>1</v>
      </c>
      <c r="R18" s="13">
        <f t="shared" si="9"/>
        <v>-0.26332792590763132</v>
      </c>
      <c r="S18" s="13">
        <f t="shared" si="19"/>
        <v>-0.20465730750140401</v>
      </c>
      <c r="T18" s="13">
        <f t="shared" si="20"/>
        <v>-332.51094109480152</v>
      </c>
      <c r="U18" s="13">
        <f t="shared" si="21"/>
        <v>690.33272291825665</v>
      </c>
      <c r="V18" s="13">
        <f t="shared" si="10"/>
        <v>-584.61949378933025</v>
      </c>
      <c r="W18" s="13">
        <f t="shared" si="11"/>
        <v>105.7132291289264</v>
      </c>
      <c r="AC18" s="3">
        <f t="shared" si="12"/>
        <v>0</v>
      </c>
      <c r="AD18" s="3">
        <f t="shared" si="13"/>
        <v>5.7870664797547852E-4</v>
      </c>
      <c r="AE18" s="3">
        <f t="shared" si="14"/>
        <v>275.34860376022345</v>
      </c>
      <c r="AF18" s="3">
        <f t="shared" si="15"/>
        <v>-734.00761952451205</v>
      </c>
      <c r="AG18" s="3">
        <f t="shared" si="16"/>
        <v>68.036454288696518</v>
      </c>
    </row>
    <row r="19" spans="1:33">
      <c r="A19" s="5">
        <v>43907</v>
      </c>
      <c r="B19" s="28">
        <v>2485.5</v>
      </c>
      <c r="C19" s="28">
        <v>56.75</v>
      </c>
      <c r="D19" s="28">
        <v>63.020059999364904</v>
      </c>
      <c r="E19">
        <f t="shared" si="0"/>
        <v>0.12054794520547946</v>
      </c>
      <c r="F19">
        <f t="shared" si="17"/>
        <v>2.7397260273972603E-3</v>
      </c>
      <c r="G19">
        <f t="shared" si="1"/>
        <v>-0.54105886695248395</v>
      </c>
      <c r="H19">
        <f t="shared" si="2"/>
        <v>-0.75986461074916978</v>
      </c>
      <c r="I19" s="1">
        <f t="shared" si="3"/>
        <v>0.29423350426227096</v>
      </c>
      <c r="J19" s="1">
        <f t="shared" si="4"/>
        <v>0.22366775863045321</v>
      </c>
      <c r="K19">
        <f t="shared" si="5"/>
        <v>0.29341530444965064</v>
      </c>
      <c r="L19">
        <f t="shared" si="6"/>
        <v>6.319162378776367E-4</v>
      </c>
      <c r="M19">
        <f t="shared" si="7"/>
        <v>-762.63764045893424</v>
      </c>
      <c r="N19">
        <f t="shared" si="8"/>
        <v>296.56894656938215</v>
      </c>
      <c r="O19">
        <f t="shared" si="18"/>
        <v>76.898854315169373</v>
      </c>
      <c r="Q19" s="13">
        <v>1</v>
      </c>
      <c r="R19" s="13">
        <f t="shared" si="9"/>
        <v>-0.29341530444965064</v>
      </c>
      <c r="S19" s="13">
        <f t="shared" si="19"/>
        <v>-4.0085748745387409E-2</v>
      </c>
      <c r="T19" s="13">
        <f t="shared" si="20"/>
        <v>74.782179366189013</v>
      </c>
      <c r="U19" s="13">
        <f t="shared" si="21"/>
        <v>765.0874885129457</v>
      </c>
      <c r="V19" s="13">
        <f t="shared" si="10"/>
        <v>-672.53373920960667</v>
      </c>
      <c r="W19" s="13">
        <f t="shared" si="11"/>
        <v>92.553749303339032</v>
      </c>
      <c r="AC19" s="3">
        <f t="shared" si="12"/>
        <v>0</v>
      </c>
      <c r="AD19" s="3">
        <f t="shared" si="13"/>
        <v>6.319162378776367E-4</v>
      </c>
      <c r="AE19" s="3">
        <f t="shared" si="14"/>
        <v>296.56894656938215</v>
      </c>
      <c r="AF19" s="3">
        <f t="shared" si="15"/>
        <v>-762.63764045893424</v>
      </c>
      <c r="AG19" s="3">
        <f t="shared" si="16"/>
        <v>76.898854315169373</v>
      </c>
    </row>
    <row r="20" spans="1:33">
      <c r="A20" s="5">
        <v>43908</v>
      </c>
      <c r="B20" s="28">
        <v>2401.5</v>
      </c>
      <c r="C20" s="28">
        <v>35.5</v>
      </c>
      <c r="D20" s="28">
        <v>62.850381837869897</v>
      </c>
      <c r="E20">
        <f t="shared" si="0"/>
        <v>0.11780821917808219</v>
      </c>
      <c r="F20">
        <f t="shared" si="17"/>
        <v>2.7397260273972603E-3</v>
      </c>
      <c r="G20">
        <f t="shared" si="1"/>
        <v>-0.71106126646424717</v>
      </c>
      <c r="H20">
        <f t="shared" si="2"/>
        <v>-0.92678390128056209</v>
      </c>
      <c r="I20" s="1">
        <f t="shared" si="3"/>
        <v>0.23852313551033408</v>
      </c>
      <c r="J20" s="1">
        <f t="shared" si="4"/>
        <v>0.17701937256361094</v>
      </c>
      <c r="K20">
        <f t="shared" si="5"/>
        <v>0.23787490827081803</v>
      </c>
      <c r="L20">
        <f t="shared" si="6"/>
        <v>5.9642861780696734E-4</v>
      </c>
      <c r="M20">
        <f t="shared" si="7"/>
        <v>-669.56824691430165</v>
      </c>
      <c r="N20">
        <f t="shared" si="8"/>
        <v>254.6872283312735</v>
      </c>
      <c r="O20">
        <f t="shared" si="18"/>
        <v>59.481312832331696</v>
      </c>
      <c r="Q20" s="13">
        <v>1</v>
      </c>
      <c r="R20" s="13">
        <f t="shared" si="9"/>
        <v>-0.23787490827081803</v>
      </c>
      <c r="S20" s="13">
        <f t="shared" si="19"/>
        <v>-4.6156130064225399E-2</v>
      </c>
      <c r="T20" s="13">
        <f t="shared" si="20"/>
        <v>-133.38026142346649</v>
      </c>
      <c r="U20" s="13">
        <f t="shared" si="21"/>
        <v>631.67511516002037</v>
      </c>
      <c r="V20" s="13">
        <f t="shared" si="10"/>
        <v>-535.75659221236947</v>
      </c>
      <c r="W20" s="13">
        <f t="shared" si="11"/>
        <v>95.918522947650899</v>
      </c>
      <c r="AC20" s="3">
        <f t="shared" si="12"/>
        <v>0</v>
      </c>
      <c r="AD20" s="3">
        <f t="shared" si="13"/>
        <v>5.9642861780696734E-4</v>
      </c>
      <c r="AE20" s="3">
        <f t="shared" si="14"/>
        <v>254.6872283312735</v>
      </c>
      <c r="AF20" s="3">
        <f t="shared" si="15"/>
        <v>-669.56824691430165</v>
      </c>
      <c r="AG20" s="3">
        <f t="shared" si="16"/>
        <v>59.481312832331696</v>
      </c>
    </row>
    <row r="21" spans="1:33">
      <c r="A21" s="5">
        <v>43909</v>
      </c>
      <c r="B21" s="28">
        <v>2389</v>
      </c>
      <c r="C21" s="28">
        <v>22.25</v>
      </c>
      <c r="D21" s="28">
        <v>55.663381077253199</v>
      </c>
      <c r="E21">
        <f t="shared" si="0"/>
        <v>0.11506849315068493</v>
      </c>
      <c r="F21">
        <f t="shared" si="17"/>
        <v>2.7397260273972603E-3</v>
      </c>
      <c r="G21">
        <f t="shared" si="1"/>
        <v>-0.86859164561255842</v>
      </c>
      <c r="H21">
        <f t="shared" si="2"/>
        <v>-1.0574115596017721</v>
      </c>
      <c r="I21" s="1">
        <f t="shared" si="3"/>
        <v>0.19253526282268163</v>
      </c>
      <c r="J21" s="1">
        <f t="shared" si="4"/>
        <v>0.14516189907787236</v>
      </c>
      <c r="K21">
        <f t="shared" si="5"/>
        <v>0.19202416783644763</v>
      </c>
      <c r="L21">
        <f t="shared" si="6"/>
        <v>6.0487366982676807E-4</v>
      </c>
      <c r="M21">
        <f t="shared" si="7"/>
        <v>-527.00058628498937</v>
      </c>
      <c r="N21">
        <f t="shared" si="8"/>
        <v>221.11743508623221</v>
      </c>
      <c r="O21">
        <f t="shared" si="18"/>
        <v>47.645370653467651</v>
      </c>
      <c r="Q21" s="13">
        <v>1</v>
      </c>
      <c r="R21" s="13">
        <f t="shared" si="9"/>
        <v>-0.19202416783644763</v>
      </c>
      <c r="S21" s="13">
        <f t="shared" si="19"/>
        <v>-3.6154643457122305E-2</v>
      </c>
      <c r="T21" s="13">
        <f t="shared" si="20"/>
        <v>-109.53741889771089</v>
      </c>
      <c r="U21" s="13">
        <f t="shared" si="21"/>
        <v>522.11313685752498</v>
      </c>
      <c r="V21" s="13">
        <f t="shared" si="10"/>
        <v>-436.49573696127339</v>
      </c>
      <c r="W21" s="13">
        <f t="shared" si="11"/>
        <v>85.617399896251584</v>
      </c>
      <c r="AC21" s="3">
        <f t="shared" si="12"/>
        <v>0</v>
      </c>
      <c r="AD21" s="3">
        <f t="shared" si="13"/>
        <v>6.0487366982676807E-4</v>
      </c>
      <c r="AE21" s="3">
        <f t="shared" si="14"/>
        <v>221.11743508623221</v>
      </c>
      <c r="AF21" s="3">
        <f t="shared" si="15"/>
        <v>-527.00058628498937</v>
      </c>
      <c r="AG21" s="3">
        <f t="shared" si="16"/>
        <v>47.645370653467651</v>
      </c>
    </row>
    <row r="22" spans="1:33">
      <c r="A22" s="5">
        <v>43910</v>
      </c>
      <c r="B22" s="28">
        <v>2288.5</v>
      </c>
      <c r="C22" s="28">
        <v>7</v>
      </c>
      <c r="D22" s="28">
        <v>44.388919560753301</v>
      </c>
      <c r="E22">
        <f t="shared" si="0"/>
        <v>0.11232876712328767</v>
      </c>
      <c r="F22">
        <f t="shared" si="17"/>
        <v>2.7397260273972603E-3</v>
      </c>
      <c r="G22">
        <f t="shared" si="1"/>
        <v>-1.4364349183882439</v>
      </c>
      <c r="H22">
        <f t="shared" si="2"/>
        <v>-1.5852065309501748</v>
      </c>
      <c r="I22" s="1">
        <f t="shared" si="3"/>
        <v>7.543931150956254E-2</v>
      </c>
      <c r="J22" s="1">
        <f t="shared" si="4"/>
        <v>5.6459708571661847E-2</v>
      </c>
      <c r="K22">
        <f t="shared" si="5"/>
        <v>7.5243815742784562E-2</v>
      </c>
      <c r="L22">
        <f t="shared" si="6"/>
        <v>4.1654549333600301E-4</v>
      </c>
      <c r="M22">
        <f t="shared" si="7"/>
        <v>-212.02661516102981</v>
      </c>
      <c r="N22">
        <f t="shared" si="8"/>
        <v>108.77518741297303</v>
      </c>
      <c r="O22">
        <f t="shared" si="18"/>
        <v>18.091257392039306</v>
      </c>
      <c r="Q22" s="13">
        <v>1</v>
      </c>
      <c r="R22" s="13">
        <f t="shared" si="9"/>
        <v>-7.5243815742784562E-2</v>
      </c>
      <c r="S22" s="13">
        <f t="shared" si="19"/>
        <v>-2.9033868113584493E-2</v>
      </c>
      <c r="T22" s="13">
        <f t="shared" si="20"/>
        <v>-267.25183576634794</v>
      </c>
      <c r="U22" s="13">
        <f t="shared" si="21"/>
        <v>254.84185130559371</v>
      </c>
      <c r="V22" s="13">
        <f t="shared" si="10"/>
        <v>-165.19547232736247</v>
      </c>
      <c r="W22" s="13">
        <f t="shared" si="11"/>
        <v>89.64637897823124</v>
      </c>
      <c r="AC22" s="3">
        <f t="shared" si="12"/>
        <v>0</v>
      </c>
      <c r="AD22" s="3">
        <f t="shared" si="13"/>
        <v>4.1654549333600301E-4</v>
      </c>
      <c r="AE22" s="3">
        <f t="shared" si="14"/>
        <v>108.77518741297303</v>
      </c>
      <c r="AF22" s="3">
        <f t="shared" si="15"/>
        <v>-212.02661516102981</v>
      </c>
      <c r="AG22" s="3">
        <f t="shared" si="16"/>
        <v>18.091257392039306</v>
      </c>
    </row>
    <row r="23" spans="1:33">
      <c r="A23" s="5">
        <v>43913</v>
      </c>
      <c r="B23" s="28">
        <v>2220.5</v>
      </c>
      <c r="C23" s="28">
        <v>5</v>
      </c>
      <c r="D23" s="28">
        <v>43.191410164823203</v>
      </c>
      <c r="E23">
        <f t="shared" si="0"/>
        <v>0.10410958904109589</v>
      </c>
      <c r="F23">
        <f t="shared" si="17"/>
        <v>8.21917808219178E-3</v>
      </c>
      <c r="G23">
        <f t="shared" si="1"/>
        <v>-1.7586338445610492</v>
      </c>
      <c r="H23">
        <f t="shared" si="2"/>
        <v>-1.8979953245252232</v>
      </c>
      <c r="I23" s="1">
        <f t="shared" si="3"/>
        <v>3.931986028811723E-2</v>
      </c>
      <c r="J23" s="1">
        <f t="shared" si="4"/>
        <v>2.8848348967879481E-2</v>
      </c>
      <c r="K23">
        <f t="shared" si="5"/>
        <v>3.9225412333218183E-2</v>
      </c>
      <c r="L23">
        <f t="shared" si="6"/>
        <v>2.7395587824458257E-4</v>
      </c>
      <c r="M23">
        <f t="shared" si="7"/>
        <v>-124.53355063032429</v>
      </c>
      <c r="N23">
        <f t="shared" si="8"/>
        <v>60.739371578536669</v>
      </c>
      <c r="O23">
        <f t="shared" si="18"/>
        <v>8.569061893669927</v>
      </c>
      <c r="Q23" s="13">
        <v>1</v>
      </c>
      <c r="R23" s="13">
        <f t="shared" si="9"/>
        <v>-3.9225412333218183E-2</v>
      </c>
      <c r="S23" s="13">
        <f t="shared" si="19"/>
        <v>-3.2696655165869642E-2</v>
      </c>
      <c r="T23" s="13">
        <f t="shared" si="20"/>
        <v>-79.978864770942138</v>
      </c>
      <c r="U23" s="13">
        <f t="shared" si="21"/>
        <v>174.84432402264486</v>
      </c>
      <c r="V23" s="13">
        <f t="shared" si="10"/>
        <v>-82.100028085910978</v>
      </c>
      <c r="W23" s="13">
        <f t="shared" si="11"/>
        <v>92.744295936733877</v>
      </c>
      <c r="AC23" s="3">
        <f t="shared" si="12"/>
        <v>0</v>
      </c>
      <c r="AD23" s="3">
        <f t="shared" si="13"/>
        <v>2.7395587824458257E-4</v>
      </c>
      <c r="AE23" s="3">
        <f t="shared" si="14"/>
        <v>60.739371578536669</v>
      </c>
      <c r="AF23" s="3">
        <f t="shared" si="15"/>
        <v>-124.53355063032429</v>
      </c>
      <c r="AG23" s="3">
        <f t="shared" si="16"/>
        <v>8.569061893669927</v>
      </c>
    </row>
    <row r="24" spans="1:33">
      <c r="A24" s="5">
        <v>43914</v>
      </c>
      <c r="B24" s="28">
        <v>2438</v>
      </c>
      <c r="C24" s="28">
        <v>25</v>
      </c>
      <c r="D24" s="28">
        <v>48.525351865927</v>
      </c>
      <c r="E24">
        <f t="shared" si="0"/>
        <v>0.10136986301369863</v>
      </c>
      <c r="F24">
        <f t="shared" si="17"/>
        <v>2.7397260273972603E-3</v>
      </c>
      <c r="G24">
        <f t="shared" si="1"/>
        <v>-0.9668160061453136</v>
      </c>
      <c r="H24">
        <f t="shared" si="2"/>
        <v>-1.1213140990779467</v>
      </c>
      <c r="I24" s="1">
        <f t="shared" si="3"/>
        <v>0.1668180107088649</v>
      </c>
      <c r="J24" s="1">
        <f t="shared" si="4"/>
        <v>0.1310770930991588</v>
      </c>
      <c r="K24">
        <f t="shared" si="5"/>
        <v>0.16642783934189226</v>
      </c>
      <c r="L24">
        <f t="shared" si="6"/>
        <v>6.6215787025508503E-4</v>
      </c>
      <c r="M24">
        <f t="shared" si="7"/>
        <v>-456.51613424088634</v>
      </c>
      <c r="N24">
        <f t="shared" si="8"/>
        <v>193.60051165061452</v>
      </c>
      <c r="O24">
        <f t="shared" si="18"/>
        <v>37.912701470898767</v>
      </c>
      <c r="Q24" s="13">
        <v>1</v>
      </c>
      <c r="R24" s="13">
        <f t="shared" si="9"/>
        <v>-0.16642783934189226</v>
      </c>
      <c r="S24" s="13">
        <f t="shared" si="19"/>
        <v>-5.5125323777108493E-3</v>
      </c>
      <c r="T24" s="13">
        <f t="shared" si="20"/>
        <v>310.11951704714738</v>
      </c>
      <c r="U24" s="13">
        <f t="shared" si="21"/>
        <v>484.9615380380248</v>
      </c>
      <c r="V24" s="13">
        <f t="shared" si="10"/>
        <v>-380.75107231553335</v>
      </c>
      <c r="W24" s="13">
        <f t="shared" si="11"/>
        <v>104.21046572249145</v>
      </c>
      <c r="AC24" s="3">
        <f t="shared" si="12"/>
        <v>0</v>
      </c>
      <c r="AD24" s="3">
        <f t="shared" si="13"/>
        <v>6.6215787025508503E-4</v>
      </c>
      <c r="AE24" s="3">
        <f t="shared" si="14"/>
        <v>193.60051165061452</v>
      </c>
      <c r="AF24" s="3">
        <f t="shared" si="15"/>
        <v>-456.51613424088634</v>
      </c>
      <c r="AG24" s="3">
        <f t="shared" si="16"/>
        <v>37.912701470898767</v>
      </c>
    </row>
    <row r="25" spans="1:33">
      <c r="A25" s="5">
        <v>43915</v>
      </c>
      <c r="B25" s="28">
        <v>2467</v>
      </c>
      <c r="C25" s="28">
        <v>28.25</v>
      </c>
      <c r="D25" s="28">
        <v>52.093489510101797</v>
      </c>
      <c r="E25">
        <f t="shared" si="0"/>
        <v>9.8630136986301367E-2</v>
      </c>
      <c r="F25">
        <f t="shared" si="17"/>
        <v>2.7397260273972603E-3</v>
      </c>
      <c r="G25">
        <f t="shared" si="1"/>
        <v>-0.83161356212421567</v>
      </c>
      <c r="H25">
        <f t="shared" si="2"/>
        <v>-0.99521543384895339</v>
      </c>
      <c r="I25" s="1">
        <f t="shared" si="3"/>
        <v>0.20281355222819031</v>
      </c>
      <c r="J25" s="1">
        <f t="shared" si="4"/>
        <v>0.15981574846473395</v>
      </c>
      <c r="K25">
        <f t="shared" si="5"/>
        <v>0.20235199671483284</v>
      </c>
      <c r="L25">
        <f t="shared" si="6"/>
        <v>6.9789203121879153E-4</v>
      </c>
      <c r="M25">
        <f t="shared" si="7"/>
        <v>-567.84846144304913</v>
      </c>
      <c r="N25">
        <f t="shared" si="8"/>
        <v>218.23259886236633</v>
      </c>
      <c r="O25">
        <f t="shared" si="18"/>
        <v>44.978582548685566</v>
      </c>
      <c r="Q25" s="13">
        <v>1</v>
      </c>
      <c r="R25" s="13">
        <f t="shared" si="9"/>
        <v>-0.20235199671483284</v>
      </c>
      <c r="S25" s="13">
        <f t="shared" si="19"/>
        <v>-2.5679853067602832E-2</v>
      </c>
      <c r="T25" s="13">
        <f t="shared" si="20"/>
        <v>88.624896239044404</v>
      </c>
      <c r="U25" s="13">
        <f t="shared" si="21"/>
        <v>573.56965653941756</v>
      </c>
      <c r="V25" s="13">
        <f t="shared" si="10"/>
        <v>-470.95237589549259</v>
      </c>
      <c r="W25" s="13">
        <f t="shared" si="11"/>
        <v>102.61728064392497</v>
      </c>
      <c r="AC25" s="3">
        <f t="shared" si="12"/>
        <v>0</v>
      </c>
      <c r="AD25" s="3">
        <f t="shared" si="13"/>
        <v>6.9789203121879153E-4</v>
      </c>
      <c r="AE25" s="3">
        <f t="shared" si="14"/>
        <v>218.23259886236633</v>
      </c>
      <c r="AF25" s="3">
        <f t="shared" si="15"/>
        <v>-567.84846144304913</v>
      </c>
      <c r="AG25" s="3">
        <f t="shared" si="16"/>
        <v>44.978582548685566</v>
      </c>
    </row>
    <row r="26" spans="1:33">
      <c r="A26" s="5">
        <v>43916</v>
      </c>
      <c r="B26" s="28">
        <v>2608</v>
      </c>
      <c r="C26" s="28">
        <v>50</v>
      </c>
      <c r="D26" s="28">
        <v>52.393737264855503</v>
      </c>
      <c r="E26">
        <f t="shared" si="0"/>
        <v>9.5890410958904104E-2</v>
      </c>
      <c r="F26">
        <f t="shared" si="17"/>
        <v>2.7397260273972603E-3</v>
      </c>
      <c r="G26">
        <f t="shared" si="1"/>
        <v>-0.49708734269498794</v>
      </c>
      <c r="H26">
        <f t="shared" si="2"/>
        <v>-0.65933071616733119</v>
      </c>
      <c r="I26" s="1">
        <f t="shared" si="3"/>
        <v>0.3095637299758851</v>
      </c>
      <c r="J26" s="1">
        <f t="shared" si="4"/>
        <v>0.25484171104887704</v>
      </c>
      <c r="K26">
        <f t="shared" si="5"/>
        <v>0.30887878399218621</v>
      </c>
      <c r="L26">
        <f t="shared" si="6"/>
        <v>8.3141401666108662E-4</v>
      </c>
      <c r="M26">
        <f t="shared" si="7"/>
        <v>-762.4497058426241</v>
      </c>
      <c r="N26">
        <f t="shared" si="8"/>
        <v>284.11036225584746</v>
      </c>
      <c r="O26">
        <f t="shared" si="18"/>
        <v>69.73482788510097</v>
      </c>
      <c r="Q26" s="13">
        <v>1</v>
      </c>
      <c r="R26" s="13">
        <f t="shared" si="9"/>
        <v>-0.30887878399218621</v>
      </c>
      <c r="S26" s="13">
        <f t="shared" si="19"/>
        <v>-3.159435560043429E-2</v>
      </c>
      <c r="T26" s="13">
        <f t="shared" si="20"/>
        <v>277.82186121933762</v>
      </c>
      <c r="U26" s="13">
        <f t="shared" si="21"/>
        <v>851.37045203868809</v>
      </c>
      <c r="V26" s="13">
        <f t="shared" si="10"/>
        <v>-755.55586865162161</v>
      </c>
      <c r="W26" s="13">
        <f t="shared" si="11"/>
        <v>95.814583387066477</v>
      </c>
      <c r="AC26" s="3">
        <f t="shared" si="12"/>
        <v>0</v>
      </c>
      <c r="AD26" s="3">
        <f t="shared" si="13"/>
        <v>8.3141401666108662E-4</v>
      </c>
      <c r="AE26" s="3">
        <f t="shared" si="14"/>
        <v>284.11036225584746</v>
      </c>
      <c r="AF26" s="3">
        <f t="shared" si="15"/>
        <v>-762.4497058426241</v>
      </c>
      <c r="AG26" s="3">
        <f t="shared" si="16"/>
        <v>69.73482788510097</v>
      </c>
    </row>
    <row r="27" spans="1:33">
      <c r="A27" s="5">
        <v>43917</v>
      </c>
      <c r="B27" s="28">
        <v>2524</v>
      </c>
      <c r="C27" s="28">
        <v>30.5</v>
      </c>
      <c r="D27" s="28">
        <v>53.714508407207298</v>
      </c>
      <c r="E27">
        <f t="shared" si="0"/>
        <v>9.3150684931506855E-2</v>
      </c>
      <c r="F27">
        <f t="shared" si="17"/>
        <v>2.7397260273972603E-3</v>
      </c>
      <c r="G27">
        <f t="shared" si="1"/>
        <v>-0.68968089506770691</v>
      </c>
      <c r="H27">
        <f t="shared" si="2"/>
        <v>-0.85362078219355442</v>
      </c>
      <c r="I27" s="1">
        <f t="shared" si="3"/>
        <v>0.24519744141223071</v>
      </c>
      <c r="J27" s="1">
        <f t="shared" si="4"/>
        <v>0.19665756987316899</v>
      </c>
      <c r="K27">
        <f t="shared" si="5"/>
        <v>0.24467039750506059</v>
      </c>
      <c r="L27">
        <f t="shared" si="6"/>
        <v>7.5842628742735219E-4</v>
      </c>
      <c r="M27">
        <f t="shared" si="7"/>
        <v>-686.52072728474639</v>
      </c>
      <c r="N27">
        <f t="shared" si="8"/>
        <v>241.7518112720625</v>
      </c>
      <c r="O27">
        <f t="shared" si="18"/>
        <v>52.279117446140852</v>
      </c>
      <c r="Q27" s="13">
        <v>1</v>
      </c>
      <c r="R27" s="13">
        <f t="shared" si="9"/>
        <v>-0.24467039750506059</v>
      </c>
      <c r="S27" s="13">
        <f t="shared" si="19"/>
        <v>-5.0983368267310106E-2</v>
      </c>
      <c r="T27" s="13">
        <f t="shared" si="20"/>
        <v>-162.06196749350508</v>
      </c>
      <c r="U27" s="13">
        <f t="shared" si="21"/>
        <v>689.2731292163196</v>
      </c>
      <c r="V27" s="13">
        <f t="shared" si="10"/>
        <v>-587.04808330277297</v>
      </c>
      <c r="W27" s="13">
        <f t="shared" si="11"/>
        <v>102.22504591354664</v>
      </c>
      <c r="AC27" s="3">
        <f t="shared" si="12"/>
        <v>0</v>
      </c>
      <c r="AD27" s="3">
        <f t="shared" si="13"/>
        <v>7.5842628742735219E-4</v>
      </c>
      <c r="AE27" s="3">
        <f t="shared" si="14"/>
        <v>241.7518112720625</v>
      </c>
      <c r="AF27" s="3">
        <f t="shared" si="15"/>
        <v>-686.52072728474639</v>
      </c>
      <c r="AG27" s="3">
        <f t="shared" si="16"/>
        <v>52.279117446140852</v>
      </c>
    </row>
    <row r="28" spans="1:33">
      <c r="A28" s="5">
        <v>43920</v>
      </c>
      <c r="B28" s="28">
        <v>2611.25</v>
      </c>
      <c r="C28" s="28">
        <v>35</v>
      </c>
      <c r="D28" s="28">
        <v>49.697228377060803</v>
      </c>
      <c r="E28">
        <f t="shared" si="0"/>
        <v>8.4931506849315067E-2</v>
      </c>
      <c r="F28">
        <f t="shared" si="17"/>
        <v>8.21917808219178E-3</v>
      </c>
      <c r="G28">
        <f t="shared" si="1"/>
        <v>-0.56546085569263405</v>
      </c>
      <c r="H28">
        <f t="shared" si="2"/>
        <v>-0.710293541172626</v>
      </c>
      <c r="I28" s="1">
        <f t="shared" si="3"/>
        <v>0.28588017103346985</v>
      </c>
      <c r="J28" s="1">
        <f t="shared" si="4"/>
        <v>0.23876106211549855</v>
      </c>
      <c r="K28">
        <f t="shared" si="5"/>
        <v>0.28531984746902173</v>
      </c>
      <c r="L28">
        <f t="shared" si="6"/>
        <v>8.9724494889414517E-4</v>
      </c>
      <c r="M28">
        <f t="shared" si="7"/>
        <v>-742.87565038319929</v>
      </c>
      <c r="N28">
        <f t="shared" si="8"/>
        <v>258.23132652704123</v>
      </c>
      <c r="O28">
        <f t="shared" si="18"/>
        <v>57.88237127169247</v>
      </c>
      <c r="Q28" s="13">
        <v>1</v>
      </c>
      <c r="R28" s="13">
        <f t="shared" si="9"/>
        <v>-0.28531984746902173</v>
      </c>
      <c r="S28" s="13">
        <f t="shared" si="19"/>
        <v>-0.1172606715797252</v>
      </c>
      <c r="T28" s="13">
        <f t="shared" si="20"/>
        <v>106.14587621839352</v>
      </c>
      <c r="U28" s="13">
        <f t="shared" si="21"/>
        <v>795.33970304087154</v>
      </c>
      <c r="V28" s="13">
        <f t="shared" si="10"/>
        <v>-710.04145170348295</v>
      </c>
      <c r="W28" s="13">
        <f t="shared" si="11"/>
        <v>85.298251337388592</v>
      </c>
      <c r="AC28" s="3">
        <f t="shared" si="12"/>
        <v>0</v>
      </c>
      <c r="AD28" s="3">
        <f t="shared" si="13"/>
        <v>8.9724494889414517E-4</v>
      </c>
      <c r="AE28" s="3">
        <f t="shared" si="14"/>
        <v>258.23132652704123</v>
      </c>
      <c r="AF28" s="3">
        <f t="shared" si="15"/>
        <v>-742.87565038319929</v>
      </c>
      <c r="AG28" s="3">
        <f t="shared" si="16"/>
        <v>57.88237127169247</v>
      </c>
    </row>
    <row r="29" spans="1:33">
      <c r="A29" s="5">
        <v>43921</v>
      </c>
      <c r="B29" s="28">
        <v>2569.75</v>
      </c>
      <c r="C29" s="28">
        <v>14.75</v>
      </c>
      <c r="D29" s="28">
        <v>44.392373854031099</v>
      </c>
      <c r="E29">
        <f t="shared" si="0"/>
        <v>8.2191780821917804E-2</v>
      </c>
      <c r="F29">
        <f t="shared" si="17"/>
        <v>2.7397260273972603E-3</v>
      </c>
      <c r="G29">
        <f t="shared" si="1"/>
        <v>-0.78779805762229682</v>
      </c>
      <c r="H29">
        <f t="shared" si="2"/>
        <v>-0.9150670378973097</v>
      </c>
      <c r="I29" s="1">
        <f t="shared" si="3"/>
        <v>0.21540741870340616</v>
      </c>
      <c r="J29" s="1">
        <f t="shared" si="4"/>
        <v>0.18007821897930015</v>
      </c>
      <c r="K29">
        <f t="shared" si="5"/>
        <v>0.21499882769087111</v>
      </c>
      <c r="L29">
        <f t="shared" si="6"/>
        <v>8.9269866724846323E-4</v>
      </c>
      <c r="M29">
        <f t="shared" si="7"/>
        <v>-571.54871756031082</v>
      </c>
      <c r="N29">
        <f t="shared" si="8"/>
        <v>215.09157287420354</v>
      </c>
      <c r="O29">
        <f t="shared" si="18"/>
        <v>42.250421460935762</v>
      </c>
      <c r="Q29" s="13">
        <v>1</v>
      </c>
      <c r="R29" s="13">
        <f t="shared" si="9"/>
        <v>-0.21499882769087111</v>
      </c>
      <c r="S29" s="13">
        <f t="shared" si="19"/>
        <v>-4.7153430550001048E-2</v>
      </c>
      <c r="T29" s="13">
        <f t="shared" si="20"/>
        <v>-180.70744057490253</v>
      </c>
      <c r="U29" s="13">
        <f t="shared" si="21"/>
        <v>614.59970855574409</v>
      </c>
      <c r="V29" s="13">
        <f t="shared" si="10"/>
        <v>-537.74323745861602</v>
      </c>
      <c r="W29" s="13">
        <f t="shared" si="11"/>
        <v>76.856471097128065</v>
      </c>
      <c r="AC29" s="3">
        <f t="shared" si="12"/>
        <v>0</v>
      </c>
      <c r="AD29" s="3">
        <f t="shared" si="13"/>
        <v>8.9269866724846323E-4</v>
      </c>
      <c r="AE29" s="3">
        <f t="shared" si="14"/>
        <v>215.09157287420354</v>
      </c>
      <c r="AF29" s="3">
        <f t="shared" si="15"/>
        <v>-571.54871756031082</v>
      </c>
      <c r="AG29" s="3">
        <f t="shared" si="16"/>
        <v>42.250421460935762</v>
      </c>
    </row>
    <row r="30" spans="1:33">
      <c r="A30" s="5">
        <v>43922</v>
      </c>
      <c r="B30" s="28">
        <v>2448</v>
      </c>
      <c r="C30" s="28">
        <v>6.5</v>
      </c>
      <c r="D30" s="28">
        <v>45.217639054816203</v>
      </c>
      <c r="E30">
        <f t="shared" si="0"/>
        <v>7.9452054794520555E-2</v>
      </c>
      <c r="F30">
        <f t="shared" si="17"/>
        <v>2.7397260273972603E-3</v>
      </c>
      <c r="G30">
        <f t="shared" si="1"/>
        <v>-1.1669179584051876</v>
      </c>
      <c r="H30">
        <f t="shared" si="2"/>
        <v>-1.2943740067728318</v>
      </c>
      <c r="I30" s="1">
        <f t="shared" si="3"/>
        <v>0.12162175141415288</v>
      </c>
      <c r="J30" s="1">
        <f t="shared" si="4"/>
        <v>9.7768132301791821E-2</v>
      </c>
      <c r="K30">
        <f t="shared" si="5"/>
        <v>0.12139873856410147</v>
      </c>
      <c r="L30">
        <f t="shared" si="6"/>
        <v>6.4602937206076794E-4</v>
      </c>
      <c r="M30">
        <f t="shared" si="7"/>
        <v>-390.79387736078928</v>
      </c>
      <c r="N30">
        <f t="shared" si="8"/>
        <v>139.08750192715434</v>
      </c>
      <c r="O30">
        <f t="shared" si="18"/>
        <v>22.175397134100166</v>
      </c>
      <c r="Q30" s="13">
        <v>1</v>
      </c>
      <c r="R30" s="13">
        <f t="shared" si="9"/>
        <v>-0.12139873856410147</v>
      </c>
      <c r="S30" s="13">
        <f t="shared" si="19"/>
        <v>-3.4967116852739136E-2</v>
      </c>
      <c r="T30" s="13">
        <f t="shared" si="20"/>
        <v>-229.13301818233211</v>
      </c>
      <c r="U30" s="13">
        <f t="shared" si="21"/>
        <v>385.44300505338458</v>
      </c>
      <c r="V30" s="13">
        <f t="shared" si="10"/>
        <v>-290.68411200492039</v>
      </c>
      <c r="W30" s="13">
        <f t="shared" si="11"/>
        <v>94.758893048464188</v>
      </c>
      <c r="AC30" s="3">
        <f t="shared" si="12"/>
        <v>0</v>
      </c>
      <c r="AD30" s="3">
        <f t="shared" si="13"/>
        <v>6.4602937206076794E-4</v>
      </c>
      <c r="AE30" s="3">
        <f t="shared" si="14"/>
        <v>139.08750192715434</v>
      </c>
      <c r="AF30" s="3">
        <f t="shared" si="15"/>
        <v>-390.79387736078928</v>
      </c>
      <c r="AG30" s="3">
        <f t="shared" si="16"/>
        <v>22.175397134100166</v>
      </c>
    </row>
    <row r="31" spans="1:33">
      <c r="A31" s="5">
        <v>43923</v>
      </c>
      <c r="B31" s="28">
        <v>2516.5</v>
      </c>
      <c r="C31" s="28">
        <v>6.75</v>
      </c>
      <c r="D31" s="28">
        <v>41.634995146741197</v>
      </c>
      <c r="E31">
        <f t="shared" si="0"/>
        <v>7.6712328767123292E-2</v>
      </c>
      <c r="F31">
        <f t="shared" si="17"/>
        <v>2.7397260273972603E-3</v>
      </c>
      <c r="G31">
        <f t="shared" si="1"/>
        <v>-1.0628298805387744</v>
      </c>
      <c r="H31">
        <f t="shared" si="2"/>
        <v>-1.1781462874128128</v>
      </c>
      <c r="I31" s="1">
        <f t="shared" si="3"/>
        <v>0.143929553133157</v>
      </c>
      <c r="J31" s="1">
        <f t="shared" si="4"/>
        <v>0.11936914577803834</v>
      </c>
      <c r="K31">
        <f t="shared" si="5"/>
        <v>0.14367472792725117</v>
      </c>
      <c r="L31">
        <f t="shared" si="6"/>
        <v>7.8011982590221252E-4</v>
      </c>
      <c r="M31">
        <f t="shared" si="7"/>
        <v>-422.12982411802165</v>
      </c>
      <c r="N31">
        <f t="shared" si="8"/>
        <v>157.78977972262615</v>
      </c>
      <c r="O31">
        <f t="shared" si="18"/>
        <v>26.142895830115531</v>
      </c>
      <c r="Q31" s="13">
        <v>1</v>
      </c>
      <c r="R31" s="13">
        <f t="shared" si="9"/>
        <v>-0.14367472792725117</v>
      </c>
      <c r="S31" s="13">
        <f t="shared" si="19"/>
        <v>-1.8808685548901301E-2</v>
      </c>
      <c r="T31" s="13">
        <f t="shared" si="20"/>
        <v>56.057527232366219</v>
      </c>
      <c r="U31" s="13">
        <f t="shared" si="21"/>
        <v>441.48879892030089</v>
      </c>
      <c r="V31" s="13">
        <f t="shared" si="10"/>
        <v>-354.80745282892758</v>
      </c>
      <c r="W31" s="13">
        <f t="shared" si="11"/>
        <v>86.681346091373314</v>
      </c>
      <c r="AC31" s="3">
        <f t="shared" si="12"/>
        <v>0</v>
      </c>
      <c r="AD31" s="3">
        <f t="shared" si="13"/>
        <v>7.8011982590221252E-4</v>
      </c>
      <c r="AE31" s="3">
        <f t="shared" si="14"/>
        <v>157.78977972262615</v>
      </c>
      <c r="AF31" s="3">
        <f t="shared" si="15"/>
        <v>-422.12982411802165</v>
      </c>
      <c r="AG31" s="3">
        <f t="shared" si="16"/>
        <v>26.142895830115531</v>
      </c>
    </row>
    <row r="32" spans="1:33">
      <c r="A32" s="5">
        <v>43924</v>
      </c>
      <c r="B32" s="28">
        <v>2482.75</v>
      </c>
      <c r="C32" s="28">
        <v>3.5</v>
      </c>
      <c r="D32" s="28">
        <v>36.453028077228502</v>
      </c>
      <c r="E32">
        <f t="shared" si="0"/>
        <v>7.3972602739726029E-2</v>
      </c>
      <c r="F32">
        <f t="shared" si="17"/>
        <v>2.7397260273972603E-3</v>
      </c>
      <c r="G32">
        <f t="shared" si="1"/>
        <v>-1.3894164136076728</v>
      </c>
      <c r="H32">
        <f t="shared" si="2"/>
        <v>-1.4885610124657744</v>
      </c>
      <c r="I32" s="1">
        <f t="shared" si="3"/>
        <v>8.2353081009514828E-2</v>
      </c>
      <c r="J32" s="1">
        <f t="shared" si="4"/>
        <v>6.8301502289230681E-2</v>
      </c>
      <c r="K32">
        <f t="shared" si="5"/>
        <v>8.2212478934497776E-2</v>
      </c>
      <c r="L32">
        <f t="shared" si="6"/>
        <v>6.1626562290379935E-4</v>
      </c>
      <c r="M32">
        <f t="shared" si="7"/>
        <v>-248.98255514018643</v>
      </c>
      <c r="N32">
        <f t="shared" si="8"/>
        <v>102.4326558411889</v>
      </c>
      <c r="O32">
        <f t="shared" si="18"/>
        <v>14.425307537367715</v>
      </c>
      <c r="Q32" s="13">
        <v>1</v>
      </c>
      <c r="R32" s="13">
        <f t="shared" si="9"/>
        <v>-8.2212478934497776E-2</v>
      </c>
      <c r="S32" s="13">
        <f t="shared" si="19"/>
        <v>-2.2882853300072857E-2</v>
      </c>
      <c r="T32" s="13">
        <f t="shared" si="20"/>
        <v>-152.59539868675847</v>
      </c>
      <c r="U32" s="13">
        <f t="shared" si="21"/>
        <v>288.8786214955889</v>
      </c>
      <c r="V32" s="13">
        <f t="shared" si="10"/>
        <v>-200.61303207462436</v>
      </c>
      <c r="W32" s="13">
        <f t="shared" si="11"/>
        <v>88.265589420964545</v>
      </c>
      <c r="AC32" s="3">
        <f t="shared" si="12"/>
        <v>0</v>
      </c>
      <c r="AD32" s="3">
        <f t="shared" si="13"/>
        <v>6.1626562290379935E-4</v>
      </c>
      <c r="AE32" s="3">
        <f t="shared" si="14"/>
        <v>102.4326558411889</v>
      </c>
      <c r="AF32" s="3">
        <f t="shared" si="15"/>
        <v>-248.98255514018643</v>
      </c>
      <c r="AG32" s="3">
        <f t="shared" si="16"/>
        <v>14.425307537367715</v>
      </c>
    </row>
    <row r="33" spans="1:33">
      <c r="A33" s="5">
        <v>43927</v>
      </c>
      <c r="B33" s="28">
        <v>2644.5</v>
      </c>
      <c r="C33" s="28">
        <v>17.5</v>
      </c>
      <c r="D33" s="28">
        <v>41.932272785500999</v>
      </c>
      <c r="E33">
        <f t="shared" si="0"/>
        <v>6.575342465753424E-2</v>
      </c>
      <c r="F33">
        <f t="shared" si="17"/>
        <v>8.21917808219178E-3</v>
      </c>
      <c r="G33">
        <f t="shared" si="1"/>
        <v>-0.6848409355241053</v>
      </c>
      <c r="H33">
        <f t="shared" si="2"/>
        <v>-0.79236547496343268</v>
      </c>
      <c r="I33" s="1">
        <f t="shared" si="3"/>
        <v>0.24672215034921224</v>
      </c>
      <c r="J33" s="1">
        <f t="shared" si="4"/>
        <v>0.21407380216542851</v>
      </c>
      <c r="K33">
        <f t="shared" si="5"/>
        <v>0.24634768751967817</v>
      </c>
      <c r="L33">
        <f t="shared" si="6"/>
        <v>1.108040545744519E-3</v>
      </c>
      <c r="M33">
        <f t="shared" si="7"/>
        <v>-670.30624582116309</v>
      </c>
      <c r="N33">
        <f t="shared" si="8"/>
        <v>213.65328510759176</v>
      </c>
      <c r="O33">
        <f t="shared" si="18"/>
        <v>40.196503852007105</v>
      </c>
      <c r="Q33" s="13">
        <v>1</v>
      </c>
      <c r="R33" s="13">
        <f t="shared" si="9"/>
        <v>-0.24634768751967817</v>
      </c>
      <c r="S33" s="13">
        <f t="shared" si="19"/>
        <v>-3.8757194567325397E-2</v>
      </c>
      <c r="T33" s="13">
        <f t="shared" si="20"/>
        <v>434.05555910350949</v>
      </c>
      <c r="U33" s="13">
        <f t="shared" si="21"/>
        <v>722.91133195294606</v>
      </c>
      <c r="V33" s="13">
        <f t="shared" si="10"/>
        <v>-633.96645964578897</v>
      </c>
      <c r="W33" s="13">
        <f t="shared" si="11"/>
        <v>88.944872307157084</v>
      </c>
      <c r="AC33" s="3">
        <f t="shared" si="12"/>
        <v>0</v>
      </c>
      <c r="AD33" s="3">
        <f t="shared" si="13"/>
        <v>1.108040545744519E-3</v>
      </c>
      <c r="AE33" s="3">
        <f t="shared" si="14"/>
        <v>213.65328510759176</v>
      </c>
      <c r="AF33" s="3">
        <f t="shared" si="15"/>
        <v>-670.30624582116309</v>
      </c>
      <c r="AG33" s="3">
        <f t="shared" si="16"/>
        <v>40.196503852007105</v>
      </c>
    </row>
    <row r="34" spans="1:33">
      <c r="A34" s="5">
        <v>43928</v>
      </c>
      <c r="B34" s="28">
        <v>2642</v>
      </c>
      <c r="C34" s="28">
        <v>20.5</v>
      </c>
      <c r="D34" s="28">
        <v>44.551750386374401</v>
      </c>
      <c r="E34">
        <f t="shared" si="0"/>
        <v>6.3013698630136991E-2</v>
      </c>
      <c r="F34">
        <f t="shared" si="17"/>
        <v>2.7397260273972603E-3</v>
      </c>
      <c r="G34">
        <f t="shared" si="1"/>
        <v>-0.66226503057019381</v>
      </c>
      <c r="H34">
        <f t="shared" si="2"/>
        <v>-0.7741011933167804</v>
      </c>
      <c r="I34" s="1">
        <f t="shared" si="3"/>
        <v>0.2539006919258856</v>
      </c>
      <c r="J34" s="1">
        <f t="shared" si="4"/>
        <v>0.21943547593166127</v>
      </c>
      <c r="K34">
        <f t="shared" si="5"/>
        <v>0.25353137875937531</v>
      </c>
      <c r="L34">
        <f t="shared" si="6"/>
        <v>1.0827374066915581E-3</v>
      </c>
      <c r="M34">
        <f t="shared" si="7"/>
        <v>-738.77669544091168</v>
      </c>
      <c r="N34">
        <f t="shared" si="8"/>
        <v>212.17221530600605</v>
      </c>
      <c r="O34">
        <f t="shared" si="18"/>
        <v>39.48895848209051</v>
      </c>
      <c r="Q34" s="13">
        <v>1</v>
      </c>
      <c r="R34" s="13">
        <f t="shared" si="9"/>
        <v>-0.25353137875937531</v>
      </c>
      <c r="S34" s="13">
        <f t="shared" si="19"/>
        <v>-4.1231099813743642E-2</v>
      </c>
      <c r="T34" s="13">
        <f t="shared" si="20"/>
        <v>18.979312255279851</v>
      </c>
      <c r="U34" s="13">
        <f t="shared" si="21"/>
        <v>741.86268310944911</v>
      </c>
      <c r="V34" s="13">
        <f t="shared" si="10"/>
        <v>-649.32990268226956</v>
      </c>
      <c r="W34" s="13">
        <f t="shared" si="11"/>
        <v>92.532780427179546</v>
      </c>
      <c r="AC34" s="3">
        <f t="shared" si="12"/>
        <v>0</v>
      </c>
      <c r="AD34" s="3">
        <f t="shared" si="13"/>
        <v>1.0827374066915581E-3</v>
      </c>
      <c r="AE34" s="3">
        <f t="shared" si="14"/>
        <v>212.17221530600605</v>
      </c>
      <c r="AF34" s="3">
        <f t="shared" si="15"/>
        <v>-738.77669544091168</v>
      </c>
      <c r="AG34" s="3">
        <f t="shared" si="16"/>
        <v>39.48895848209051</v>
      </c>
    </row>
    <row r="35" spans="1:33">
      <c r="A35" s="5">
        <v>43929</v>
      </c>
      <c r="B35" s="28">
        <v>2735</v>
      </c>
      <c r="C35" s="28">
        <v>40.75</v>
      </c>
      <c r="D35" s="28">
        <v>44.673273290413</v>
      </c>
      <c r="E35">
        <f t="shared" si="0"/>
        <v>6.0273972602739728E-2</v>
      </c>
      <c r="F35">
        <f t="shared" si="17"/>
        <v>2.7397260273972603E-3</v>
      </c>
      <c r="G35">
        <f t="shared" si="1"/>
        <v>-0.36164831882718868</v>
      </c>
      <c r="H35">
        <f t="shared" si="2"/>
        <v>-0.47132459168553392</v>
      </c>
      <c r="I35" s="1">
        <f t="shared" si="3"/>
        <v>0.35880742599597448</v>
      </c>
      <c r="J35" s="1">
        <f t="shared" si="4"/>
        <v>0.31870447848494426</v>
      </c>
      <c r="K35">
        <f t="shared" si="5"/>
        <v>0.35830819572188866</v>
      </c>
      <c r="L35">
        <f t="shared" si="6"/>
        <v>1.2440412776622784E-3</v>
      </c>
      <c r="M35">
        <f t="shared" si="7"/>
        <v>-912.03794089536234</v>
      </c>
      <c r="N35">
        <f t="shared" si="8"/>
        <v>250.56882906673627</v>
      </c>
      <c r="O35">
        <f t="shared" si="18"/>
        <v>54.862972615250548</v>
      </c>
      <c r="Q35" s="13">
        <v>1</v>
      </c>
      <c r="R35" s="13">
        <f t="shared" si="9"/>
        <v>-0.35830819572188866</v>
      </c>
      <c r="S35" s="13">
        <f t="shared" si="19"/>
        <v>-4.2393316135935888E-2</v>
      </c>
      <c r="T35" s="13">
        <f t="shared" si="20"/>
        <v>286.56459439247396</v>
      </c>
      <c r="U35" s="13">
        <f t="shared" si="21"/>
        <v>1028.3985020641339</v>
      </c>
      <c r="V35" s="13">
        <f t="shared" si="10"/>
        <v>-939.22291529936547</v>
      </c>
      <c r="W35" s="13">
        <f t="shared" si="11"/>
        <v>89.175586764768468</v>
      </c>
      <c r="AC35" s="3">
        <f t="shared" si="12"/>
        <v>0</v>
      </c>
      <c r="AD35" s="3">
        <f t="shared" si="13"/>
        <v>1.2440412776622784E-3</v>
      </c>
      <c r="AE35" s="3">
        <f t="shared" si="14"/>
        <v>250.56882906673627</v>
      </c>
      <c r="AF35" s="3">
        <f t="shared" si="15"/>
        <v>-912.03794089536234</v>
      </c>
      <c r="AG35" s="3">
        <f t="shared" si="16"/>
        <v>54.862972615250548</v>
      </c>
    </row>
    <row r="36" spans="1:33">
      <c r="A36" s="5">
        <v>43930</v>
      </c>
      <c r="B36" s="28">
        <v>2779.75</v>
      </c>
      <c r="C36" s="28">
        <v>57.5</v>
      </c>
      <c r="D36" s="28">
        <v>45.4563535797081</v>
      </c>
      <c r="E36">
        <f t="shared" si="0"/>
        <v>5.7534246575342465E-2</v>
      </c>
      <c r="F36">
        <f t="shared" si="17"/>
        <v>2.7397260273972603E-3</v>
      </c>
      <c r="G36">
        <f t="shared" si="1"/>
        <v>-0.21516518580252281</v>
      </c>
      <c r="H36">
        <f t="shared" si="2"/>
        <v>-0.3241981476353385</v>
      </c>
      <c r="I36" s="1">
        <f t="shared" si="3"/>
        <v>0.41481926646077893</v>
      </c>
      <c r="J36" s="1">
        <f t="shared" si="4"/>
        <v>0.37289401219282481</v>
      </c>
      <c r="K36">
        <f t="shared" si="5"/>
        <v>0.41426832080409204</v>
      </c>
      <c r="L36">
        <f t="shared" si="6"/>
        <v>1.2844472136208532E-3</v>
      </c>
      <c r="M36">
        <f t="shared" si="7"/>
        <v>-1005.9264847902158</v>
      </c>
      <c r="N36">
        <f t="shared" si="8"/>
        <v>259.56657318315501</v>
      </c>
      <c r="O36">
        <f t="shared" si="18"/>
        <v>61.277449094956204</v>
      </c>
      <c r="Q36" s="13">
        <v>1</v>
      </c>
      <c r="R36" s="13">
        <f t="shared" si="9"/>
        <v>-0.41426832080409204</v>
      </c>
      <c r="S36" s="13">
        <f t="shared" si="19"/>
        <v>-6.2022166279200958E-2</v>
      </c>
      <c r="T36" s="13">
        <f t="shared" si="20"/>
        <v>155.55515769725486</v>
      </c>
      <c r="U36" s="13">
        <f t="shared" si="21"/>
        <v>1183.9105152203254</v>
      </c>
      <c r="V36" s="13">
        <f t="shared" si="10"/>
        <v>-1094.0623647551749</v>
      </c>
      <c r="W36" s="13">
        <f t="shared" si="11"/>
        <v>89.848150465150411</v>
      </c>
      <c r="AC36" s="3">
        <f t="shared" si="12"/>
        <v>0</v>
      </c>
      <c r="AD36" s="3">
        <f t="shared" si="13"/>
        <v>1.2844472136208532E-3</v>
      </c>
      <c r="AE36" s="3">
        <f t="shared" si="14"/>
        <v>259.56657318315501</v>
      </c>
      <c r="AF36" s="3">
        <f t="shared" si="15"/>
        <v>-1005.9264847902158</v>
      </c>
      <c r="AG36" s="3">
        <f t="shared" si="16"/>
        <v>61.277449094956204</v>
      </c>
    </row>
    <row r="37" spans="1:33">
      <c r="A37" s="3"/>
      <c r="B37" s="2"/>
      <c r="C37" s="4"/>
      <c r="D37" s="2"/>
    </row>
    <row r="44" spans="1:33">
      <c r="A44" s="2"/>
      <c r="D44" s="5">
        <v>43951</v>
      </c>
    </row>
    <row r="45" spans="1:33">
      <c r="A45" t="s">
        <v>12</v>
      </c>
      <c r="B45">
        <v>2950</v>
      </c>
    </row>
    <row r="46" spans="1:33">
      <c r="A46" t="s">
        <v>20</v>
      </c>
      <c r="B46" s="6">
        <v>2.3099999999999999E-2</v>
      </c>
      <c r="D46" s="5">
        <v>43476</v>
      </c>
    </row>
    <row r="47" spans="1:33">
      <c r="A47" t="s">
        <v>21</v>
      </c>
      <c r="B47" s="6">
        <v>6.7000000000000002E-3</v>
      </c>
    </row>
    <row r="49" spans="1:33">
      <c r="A49" s="3"/>
      <c r="B49" s="2"/>
      <c r="C49" s="4"/>
      <c r="D49" s="2"/>
    </row>
    <row r="50" spans="1:33" ht="21">
      <c r="A50" s="25" t="s">
        <v>55</v>
      </c>
      <c r="B50" s="27" t="s">
        <v>62</v>
      </c>
      <c r="C50" s="26"/>
      <c r="D50" s="25"/>
      <c r="E50" s="23"/>
      <c r="F50" s="24" t="s">
        <v>69</v>
      </c>
      <c r="G50" s="23"/>
      <c r="H50" s="23"/>
      <c r="Q50" s="7" t="s">
        <v>52</v>
      </c>
      <c r="S50" t="s">
        <v>42</v>
      </c>
      <c r="AC50" s="46" t="s">
        <v>54</v>
      </c>
      <c r="AD50" s="46"/>
      <c r="AE50" s="46"/>
      <c r="AF50" s="46"/>
      <c r="AG50" s="46"/>
    </row>
    <row r="51" spans="1:33">
      <c r="C51" s="45" t="s">
        <v>32</v>
      </c>
      <c r="D51" s="45"/>
      <c r="G51" s="45" t="s">
        <v>33</v>
      </c>
      <c r="H51" s="45"/>
      <c r="I51" s="45"/>
      <c r="J51" s="45"/>
      <c r="K51" s="45"/>
      <c r="L51" s="45"/>
      <c r="M51" s="45"/>
      <c r="N51" s="45"/>
      <c r="O51" s="45"/>
      <c r="Q51" s="49" t="s">
        <v>41</v>
      </c>
      <c r="R51" s="49"/>
      <c r="S51" s="49"/>
      <c r="T51" s="11"/>
      <c r="U51" s="11"/>
      <c r="V51" s="11"/>
      <c r="W51" s="11"/>
      <c r="X51" s="11"/>
      <c r="Y51" s="11"/>
      <c r="AC51" s="3"/>
      <c r="AD51" s="3"/>
      <c r="AE51" s="3"/>
      <c r="AF51" s="3"/>
      <c r="AG51" s="3"/>
    </row>
    <row r="52" spans="1:33">
      <c r="A52" s="3" t="s">
        <v>10</v>
      </c>
      <c r="B52" s="2" t="s">
        <v>14</v>
      </c>
      <c r="C52" s="2" t="s">
        <v>13</v>
      </c>
      <c r="D52" s="2" t="s">
        <v>11</v>
      </c>
      <c r="E52" t="s">
        <v>15</v>
      </c>
      <c r="F52" s="2" t="s">
        <v>17</v>
      </c>
      <c r="G52" s="2" t="s">
        <v>0</v>
      </c>
      <c r="H52" s="2" t="s">
        <v>2</v>
      </c>
      <c r="I52" s="2" t="s">
        <v>8</v>
      </c>
      <c r="J52" s="2" t="s">
        <v>9</v>
      </c>
      <c r="K52" s="2" t="s">
        <v>4</v>
      </c>
      <c r="L52" s="2" t="s">
        <v>18</v>
      </c>
      <c r="M52" s="2" t="s">
        <v>19</v>
      </c>
      <c r="N52" s="2" t="s">
        <v>5</v>
      </c>
      <c r="O52" s="2" t="s">
        <v>6</v>
      </c>
      <c r="Q52" s="11" t="s">
        <v>22</v>
      </c>
      <c r="R52" s="11" t="s">
        <v>35</v>
      </c>
      <c r="S52" s="11" t="s">
        <v>36</v>
      </c>
      <c r="T52" s="11" t="s">
        <v>24</v>
      </c>
      <c r="U52" s="11" t="s">
        <v>37</v>
      </c>
      <c r="V52" s="11" t="s">
        <v>38</v>
      </c>
      <c r="W52" s="11" t="s">
        <v>39</v>
      </c>
      <c r="X52" s="11" t="s">
        <v>40</v>
      </c>
      <c r="Y52" s="12" t="s">
        <v>27</v>
      </c>
      <c r="AC52" s="3" t="s">
        <v>4</v>
      </c>
      <c r="AD52" s="3" t="s">
        <v>7</v>
      </c>
      <c r="AE52" s="3" t="s">
        <v>5</v>
      </c>
      <c r="AF52" s="3" t="s">
        <v>48</v>
      </c>
      <c r="AG52" s="3" t="s">
        <v>6</v>
      </c>
    </row>
    <row r="53" spans="1:33">
      <c r="A53" s="5">
        <v>43899</v>
      </c>
      <c r="B53" s="28">
        <v>2735.25</v>
      </c>
      <c r="C53" s="29">
        <v>296.5</v>
      </c>
      <c r="D53" s="29">
        <v>39.331119530000002</v>
      </c>
      <c r="E53">
        <f>($D$44-A53)/365</f>
        <v>0.14246575342465753</v>
      </c>
      <c r="G53">
        <f>(LN($B53/$B$45)+($B$47-$B$46+1/2*($D53/100)^2)*$E53)/($D53/100*SQRT($E53))</f>
        <v>-0.45064159368385936</v>
      </c>
      <c r="H53">
        <f t="shared" ref="H53:H76" si="22">G53-$D53/100*SQRT($E53)</f>
        <v>-0.599095472044473</v>
      </c>
      <c r="I53" s="1">
        <f t="shared" ref="I53:I76" si="23">_xlfn.NORM.S.DIST(-$G53,TRUE)</f>
        <v>0.67387605812955775</v>
      </c>
      <c r="J53" s="1">
        <f t="shared" ref="J53:J76" si="24">_xlfn.NORM.S.DIST(-$H53,TRUE)</f>
        <v>0.7254453895170665</v>
      </c>
      <c r="K53">
        <f>-EXP(-$B$46*$E53)*I53</f>
        <v>-0.67166200489315475</v>
      </c>
      <c r="L53">
        <f>(1/SQRT(2*PI()))*EXP(-(G53^2)/2)/(B53*D53/100*SQRT(E53))*EXP(-$B$46*E53)</f>
        <v>8.8469679070428929E-4</v>
      </c>
      <c r="M53">
        <f>-(1/SQRT(2*PI()))*EXP(-(G53^2)/2)*B53*D53/100*EXP(-$B$46*E53)/(2*SQRT(E53))-($B$46*EXP(-$B$46*E53)*B53*I53)+($B$47*$B$45*EXP(-$B$47*E53)*J53)</f>
        <v>-540.06794763490598</v>
      </c>
      <c r="N53">
        <f>(1/SQRT(2*PI()))*EXP(-(G53^2)/2)*B53*EXP(-$B$46*E53)*SQRT(E53)</f>
        <v>370.88160428838944</v>
      </c>
      <c r="O53">
        <f>-E53*EXP(-$B$47*E53)*$B$45*J53</f>
        <v>-304.5949348307575</v>
      </c>
      <c r="Q53" s="11">
        <v>1</v>
      </c>
      <c r="R53" s="11">
        <f t="shared" ref="R53:R76" si="25">-L13/L53</f>
        <v>-0.86686064317669864</v>
      </c>
      <c r="S53" s="11">
        <f t="shared" ref="S53:S76" si="26">-(K13+R53*K53)</f>
        <v>-1.0183980609592489</v>
      </c>
      <c r="T53" s="11"/>
      <c r="U53" s="11"/>
      <c r="V53" s="11"/>
      <c r="W53" s="11">
        <f>-(Q53*C13+R53*C53+S53*B53)</f>
        <v>2919.5974769406766</v>
      </c>
      <c r="X53" s="11">
        <f>-W53</f>
        <v>-2919.5974769406766</v>
      </c>
      <c r="Y53" s="11">
        <f t="shared" ref="Y53:Y76" si="27">W53+X53</f>
        <v>0</v>
      </c>
      <c r="AC53" s="3">
        <f t="shared" ref="AC53:AC76" si="28">Q53*K13+R53*K53+S53</f>
        <v>0</v>
      </c>
      <c r="AD53" s="3">
        <f t="shared" ref="AD53:AD76" si="29">Q53*L13+R53*L53</f>
        <v>0</v>
      </c>
      <c r="AE53" s="3">
        <f t="shared" ref="AE53:AE76" si="30">Q53*N13+R53*N53</f>
        <v>83.983905431484573</v>
      </c>
      <c r="AF53" s="3">
        <f t="shared" ref="AF53:AF76" si="31">Q53*M13+R53*M53</f>
        <v>-217.20546873519322</v>
      </c>
      <c r="AG53" s="3">
        <f t="shared" ref="AG53:AG76" si="32">Q53*O13+R53*O53</f>
        <v>412.7466769292941</v>
      </c>
    </row>
    <row r="54" spans="1:33">
      <c r="A54" s="5">
        <v>43900</v>
      </c>
      <c r="B54" s="28">
        <v>2854.25</v>
      </c>
      <c r="C54" s="29">
        <v>213.5</v>
      </c>
      <c r="D54" s="29">
        <v>37.322587370000001</v>
      </c>
      <c r="E54">
        <f t="shared" ref="E54:E76" si="33">($D$44-A54)/365</f>
        <v>0.13972602739726028</v>
      </c>
      <c r="F54">
        <f t="shared" ref="F54:F76" si="34">(A54-A53)/365</f>
        <v>2.7397260273972603E-3</v>
      </c>
      <c r="G54">
        <f t="shared" ref="G54:G76" si="35">(LN($B54/$B$45)+($B$47-$B$46+1/2*($D54/100)^2)*$E54)/($D54/100*SQRT($E54))</f>
        <v>-0.18318056776013122</v>
      </c>
      <c r="H54">
        <f t="shared" si="22"/>
        <v>-0.32269219336453137</v>
      </c>
      <c r="I54" s="1">
        <f t="shared" si="23"/>
        <v>0.57267182946835704</v>
      </c>
      <c r="J54" s="1">
        <f t="shared" si="24"/>
        <v>0.62653581753675591</v>
      </c>
      <c r="K54">
        <f t="shared" ref="K54:K76" si="36">-EXP(-$B$3*$E54)*I54</f>
        <v>-0.57082641287962887</v>
      </c>
      <c r="L54">
        <f t="shared" ref="L54:L76" si="37">(1/SQRT(2*PI()))*EXP(-(G54^2)/2)/(B54*D54/100*SQRT(E54))*EXP(-$B$3*E54)</f>
        <v>9.8201810622450757E-4</v>
      </c>
      <c r="M54">
        <f t="shared" ref="M54:M76" si="38">-(1/SQRT(2*PI()))*EXP(-(G54^2)/2)*B54*D54/100*EXP(-$B$46*E54)/(2*SQRT(E54))-($B$46*EXP(-$B$46*E54)*B54*I54)+($B$47*$B$45*EXP(-$B$47*E54)*J54)</f>
        <v>-582.47207215298101</v>
      </c>
      <c r="N54">
        <f t="shared" ref="N54:N76" si="39">(1/SQRT(2*PI()))*EXP(-(G54^2)/2)*B54*EXP(-$B$46*E54)*SQRT(E54)</f>
        <v>417.20794454853564</v>
      </c>
      <c r="O54">
        <f t="shared" ref="O54:O76" si="40">-E54*EXP(-$B$47*E54)*$B$45*J54</f>
        <v>-258.01126033040447</v>
      </c>
      <c r="Q54" s="11">
        <v>1</v>
      </c>
      <c r="R54" s="11">
        <f t="shared" si="25"/>
        <v>-0.78709057049013642</v>
      </c>
      <c r="S54" s="11">
        <f t="shared" si="26"/>
        <v>-0.97390635229469136</v>
      </c>
      <c r="T54" s="11">
        <f t="shared" ref="T54:T76" si="41">(EXP($B$3*F54)-1)*B53*S53</f>
        <v>-0.17629802565456243</v>
      </c>
      <c r="U54" s="11">
        <f t="shared" ref="U54:U76" si="42">-(R54-R53)*C54</f>
        <v>-17.030910518581035</v>
      </c>
      <c r="V54" s="11">
        <f t="shared" ref="V54:V76" si="43">-(S54-S53)*B54</f>
        <v>-126.99045945581335</v>
      </c>
      <c r="W54" s="11">
        <f t="shared" ref="W54:W76" si="44">W53*EXP(F54*$B$4)+T54+V54+U54</f>
        <v>2775.4534020437291</v>
      </c>
      <c r="X54" s="11">
        <f t="shared" ref="X54:X76" si="45">Q54*C14+R54*C54+B54*S54</f>
        <v>-2777.3160428367669</v>
      </c>
      <c r="Y54" s="11">
        <f t="shared" si="27"/>
        <v>-1.8626407930378264</v>
      </c>
      <c r="AC54" s="3">
        <f t="shared" si="28"/>
        <v>0</v>
      </c>
      <c r="AD54" s="3">
        <f t="shared" si="29"/>
        <v>0</v>
      </c>
      <c r="AE54" s="3">
        <f t="shared" si="30"/>
        <v>94.963294909760691</v>
      </c>
      <c r="AF54" s="3">
        <f t="shared" si="31"/>
        <v>-244.56576457415343</v>
      </c>
      <c r="AG54" s="3">
        <f t="shared" si="32"/>
        <v>384.18830790435618</v>
      </c>
    </row>
    <row r="55" spans="1:33">
      <c r="A55" s="5">
        <v>43901</v>
      </c>
      <c r="B55" s="28">
        <v>2729</v>
      </c>
      <c r="C55" s="29">
        <v>296.5</v>
      </c>
      <c r="D55" s="29">
        <v>38.9501907</v>
      </c>
      <c r="E55">
        <f t="shared" si="33"/>
        <v>0.13698630136986301</v>
      </c>
      <c r="F55">
        <f t="shared" si="34"/>
        <v>2.7397260273972603E-3</v>
      </c>
      <c r="G55">
        <f t="shared" si="35"/>
        <v>-0.48366222121345986</v>
      </c>
      <c r="H55">
        <f t="shared" si="22"/>
        <v>-0.62782334471180934</v>
      </c>
      <c r="I55" s="1">
        <f t="shared" si="23"/>
        <v>0.68568719561044267</v>
      </c>
      <c r="J55" s="1">
        <f t="shared" si="24"/>
        <v>0.73494016428110709</v>
      </c>
      <c r="K55">
        <f t="shared" si="36"/>
        <v>-0.68352084770576738</v>
      </c>
      <c r="L55">
        <f t="shared" si="37"/>
        <v>8.9926363052049093E-4</v>
      </c>
      <c r="M55">
        <f t="shared" si="38"/>
        <v>-536.59921063917352</v>
      </c>
      <c r="N55">
        <f t="shared" si="39"/>
        <v>357.33933829457357</v>
      </c>
      <c r="O55">
        <f t="shared" si="40"/>
        <v>-296.72390710248021</v>
      </c>
      <c r="Q55" s="11">
        <v>1</v>
      </c>
      <c r="R55" s="11">
        <f t="shared" si="25"/>
        <v>-0.86068321734652353</v>
      </c>
      <c r="S55" s="11">
        <f t="shared" si="26"/>
        <v>-1.0186122318968829</v>
      </c>
      <c r="T55" s="11">
        <f t="shared" si="41"/>
        <v>-0.17593087654720341</v>
      </c>
      <c r="U55" s="11">
        <f t="shared" si="42"/>
        <v>21.820219792918778</v>
      </c>
      <c r="V55" s="11">
        <f t="shared" si="43"/>
        <v>122.00234543438067</v>
      </c>
      <c r="W55" s="11">
        <f t="shared" si="44"/>
        <v>2919.1509835409638</v>
      </c>
      <c r="X55" s="11">
        <f t="shared" si="45"/>
        <v>-2917.9853547898374</v>
      </c>
      <c r="Y55" s="11">
        <f t="shared" si="27"/>
        <v>1.1656287511264054</v>
      </c>
      <c r="AC55" s="3">
        <f t="shared" si="28"/>
        <v>0</v>
      </c>
      <c r="AD55" s="3">
        <f t="shared" si="29"/>
        <v>0</v>
      </c>
      <c r="AE55" s="3">
        <f t="shared" si="30"/>
        <v>88.217485403712601</v>
      </c>
      <c r="AF55" s="3">
        <f t="shared" si="31"/>
        <v>-241.98409840277668</v>
      </c>
      <c r="AG55" s="3">
        <f t="shared" si="32"/>
        <v>396.10523901338433</v>
      </c>
    </row>
    <row r="56" spans="1:33">
      <c r="A56" s="5">
        <v>43902</v>
      </c>
      <c r="B56" s="28">
        <v>2456</v>
      </c>
      <c r="C56" s="29">
        <v>522.5</v>
      </c>
      <c r="D56" s="29">
        <v>44.715238509999999</v>
      </c>
      <c r="E56">
        <f t="shared" si="33"/>
        <v>0.13424657534246576</v>
      </c>
      <c r="F56">
        <f t="shared" si="34"/>
        <v>2.7397260273972603E-3</v>
      </c>
      <c r="G56">
        <f t="shared" si="35"/>
        <v>-1.0501518799367622</v>
      </c>
      <c r="H56">
        <f t="shared" si="22"/>
        <v>-1.2139870587199904</v>
      </c>
      <c r="I56" s="1">
        <f t="shared" si="23"/>
        <v>0.85317585532513252</v>
      </c>
      <c r="J56" s="1">
        <f t="shared" si="24"/>
        <v>0.88762366699481232</v>
      </c>
      <c r="K56">
        <f t="shared" si="36"/>
        <v>-0.85053417335797454</v>
      </c>
      <c r="L56">
        <f t="shared" si="37"/>
        <v>5.6944745761090116E-4</v>
      </c>
      <c r="M56">
        <f t="shared" si="38"/>
        <v>-374.11879841639831</v>
      </c>
      <c r="N56">
        <f t="shared" si="39"/>
        <v>206.19073675262734</v>
      </c>
      <c r="O56">
        <f t="shared" si="40"/>
        <v>-351.20725439155842</v>
      </c>
      <c r="Q56" s="11">
        <v>1</v>
      </c>
      <c r="R56" s="11">
        <f t="shared" si="25"/>
        <v>-1.0849444332410554</v>
      </c>
      <c r="S56" s="11">
        <f t="shared" si="26"/>
        <v>-1.1986445361240277</v>
      </c>
      <c r="T56" s="11">
        <f t="shared" si="41"/>
        <v>-0.17593217872018618</v>
      </c>
      <c r="U56" s="11">
        <f t="shared" si="42"/>
        <v>117.17648530489289</v>
      </c>
      <c r="V56" s="11">
        <f t="shared" si="43"/>
        <v>442.15933918186755</v>
      </c>
      <c r="W56" s="11">
        <f t="shared" si="44"/>
        <v>3478.3644607561237</v>
      </c>
      <c r="X56" s="11">
        <f t="shared" si="45"/>
        <v>-3457.7544470890634</v>
      </c>
      <c r="Y56" s="11">
        <f t="shared" si="27"/>
        <v>20.61001366706023</v>
      </c>
      <c r="AC56" s="3">
        <f t="shared" si="28"/>
        <v>0</v>
      </c>
      <c r="AD56" s="3">
        <f t="shared" si="29"/>
        <v>0</v>
      </c>
      <c r="AE56" s="3">
        <f t="shared" si="30"/>
        <v>76.544117678325023</v>
      </c>
      <c r="AF56" s="3">
        <f t="shared" si="31"/>
        <v>-253.57422121148318</v>
      </c>
      <c r="AG56" s="3">
        <f t="shared" si="32"/>
        <v>460.74919672062481</v>
      </c>
    </row>
    <row r="57" spans="1:33">
      <c r="A57" s="5">
        <v>43903</v>
      </c>
      <c r="B57" s="28">
        <v>2684</v>
      </c>
      <c r="C57" s="29">
        <v>319.25</v>
      </c>
      <c r="D57" s="29">
        <v>37.036692559999999</v>
      </c>
      <c r="E57">
        <f t="shared" si="33"/>
        <v>0.13150684931506848</v>
      </c>
      <c r="F57">
        <f t="shared" si="34"/>
        <v>2.7397260273972603E-3</v>
      </c>
      <c r="G57">
        <f t="shared" si="35"/>
        <v>-0.65247974035385581</v>
      </c>
      <c r="H57">
        <f t="shared" si="22"/>
        <v>-0.78678913230569958</v>
      </c>
      <c r="I57" s="1">
        <f t="shared" si="23"/>
        <v>0.74295413086661211</v>
      </c>
      <c r="J57" s="1">
        <f t="shared" si="24"/>
        <v>0.78429734180918909</v>
      </c>
      <c r="K57">
        <f t="shared" si="36"/>
        <v>-0.74070060332664944</v>
      </c>
      <c r="L57">
        <f t="shared" si="37"/>
        <v>8.917760695281848E-4</v>
      </c>
      <c r="M57">
        <f t="shared" si="38"/>
        <v>-471.04664679077041</v>
      </c>
      <c r="N57">
        <f t="shared" si="39"/>
        <v>312.89700520758811</v>
      </c>
      <c r="O57">
        <f t="shared" si="40"/>
        <v>-303.99642538861241</v>
      </c>
      <c r="Q57" s="11">
        <v>1</v>
      </c>
      <c r="R57" s="11">
        <f t="shared" si="25"/>
        <v>-0.83982261555890347</v>
      </c>
      <c r="S57" s="11">
        <f t="shared" si="26"/>
        <v>-1.0236288610457234</v>
      </c>
      <c r="T57" s="11">
        <f t="shared" si="41"/>
        <v>-0.1863166344908537</v>
      </c>
      <c r="U57" s="11">
        <f t="shared" si="42"/>
        <v>-78.25514029502699</v>
      </c>
      <c r="V57" s="11">
        <f t="shared" si="43"/>
        <v>-469.7420719101687</v>
      </c>
      <c r="W57" s="11">
        <f t="shared" si="44"/>
        <v>2930.2447819322833</v>
      </c>
      <c r="X57" s="11">
        <f t="shared" si="45"/>
        <v>-2920.0332330639017</v>
      </c>
      <c r="Y57" s="11">
        <f t="shared" si="27"/>
        <v>10.211548868381669</v>
      </c>
      <c r="AC57" s="3">
        <f t="shared" si="28"/>
        <v>0</v>
      </c>
      <c r="AD57" s="3">
        <f t="shared" si="29"/>
        <v>0</v>
      </c>
      <c r="AE57" s="3">
        <f t="shared" si="30"/>
        <v>112.79421165306348</v>
      </c>
      <c r="AF57" s="3">
        <f t="shared" si="31"/>
        <v>-341.71536749935234</v>
      </c>
      <c r="AG57" s="3">
        <f t="shared" si="32"/>
        <v>379.29138392300229</v>
      </c>
    </row>
    <row r="58" spans="1:33">
      <c r="A58" s="5">
        <v>43906</v>
      </c>
      <c r="B58" s="28">
        <v>2405.25</v>
      </c>
      <c r="C58" s="29">
        <v>570.75</v>
      </c>
      <c r="D58" s="29">
        <v>49.129129140000003</v>
      </c>
      <c r="E58">
        <f t="shared" si="33"/>
        <v>0.12328767123287671</v>
      </c>
      <c r="F58">
        <f t="shared" si="34"/>
        <v>8.21917808219178E-3</v>
      </c>
      <c r="G58">
        <f t="shared" si="35"/>
        <v>-1.1089282976416508</v>
      </c>
      <c r="H58">
        <f t="shared" si="22"/>
        <v>-1.2814321867004241</v>
      </c>
      <c r="I58" s="1">
        <f t="shared" si="23"/>
        <v>0.86626944238462533</v>
      </c>
      <c r="J58" s="1">
        <f t="shared" si="24"/>
        <v>0.89997904760931502</v>
      </c>
      <c r="K58">
        <f t="shared" si="36"/>
        <v>-0.86380586421248517</v>
      </c>
      <c r="L58">
        <f t="shared" si="37"/>
        <v>5.1842193921241273E-4</v>
      </c>
      <c r="M58">
        <f t="shared" si="38"/>
        <v>-392.17356874162124</v>
      </c>
      <c r="N58">
        <f t="shared" si="39"/>
        <v>181.66134868442708</v>
      </c>
      <c r="O58">
        <f t="shared" si="40"/>
        <v>-327.0508821709127</v>
      </c>
      <c r="Q58" s="11">
        <v>1</v>
      </c>
      <c r="R58" s="11">
        <f t="shared" si="25"/>
        <v>-1.1162850261596768</v>
      </c>
      <c r="S58" s="11">
        <f t="shared" si="26"/>
        <v>-1.2275814776369476</v>
      </c>
      <c r="T58" s="11">
        <f t="shared" si="41"/>
        <v>-0.52168293767399443</v>
      </c>
      <c r="U58" s="11">
        <f t="shared" si="42"/>
        <v>157.79092085039139</v>
      </c>
      <c r="V58" s="11">
        <f t="shared" si="43"/>
        <v>490.55703105604204</v>
      </c>
      <c r="W58" s="11">
        <f t="shared" si="44"/>
        <v>3578.2324195088686</v>
      </c>
      <c r="X58" s="11">
        <f t="shared" si="45"/>
        <v>-3541.0100277669035</v>
      </c>
      <c r="Y58" s="11">
        <f t="shared" si="27"/>
        <v>37.222391741965112</v>
      </c>
      <c r="AC58" s="3">
        <f t="shared" si="28"/>
        <v>0</v>
      </c>
      <c r="AD58" s="3">
        <f t="shared" si="29"/>
        <v>0</v>
      </c>
      <c r="AE58" s="3">
        <f t="shared" si="30"/>
        <v>72.562760391825606</v>
      </c>
      <c r="AF58" s="3">
        <f t="shared" si="31"/>
        <v>-296.23013708263755</v>
      </c>
      <c r="AG58" s="3">
        <f t="shared" si="32"/>
        <v>433.11845684839921</v>
      </c>
    </row>
    <row r="59" spans="1:33">
      <c r="A59" s="5">
        <v>43907</v>
      </c>
      <c r="B59" s="28">
        <v>2485.5</v>
      </c>
      <c r="C59" s="29">
        <v>497</v>
      </c>
      <c r="D59" s="29">
        <v>46.831173550000003</v>
      </c>
      <c r="E59">
        <f t="shared" si="33"/>
        <v>0.12054794520547946</v>
      </c>
      <c r="F59">
        <f t="shared" si="34"/>
        <v>2.7397260273972603E-3</v>
      </c>
      <c r="G59">
        <f t="shared" si="35"/>
        <v>-0.98457154261449475</v>
      </c>
      <c r="H59">
        <f t="shared" si="22"/>
        <v>-1.1471694481319235</v>
      </c>
      <c r="I59" s="1">
        <f t="shared" si="23"/>
        <v>0.83758271317415345</v>
      </c>
      <c r="J59" s="1">
        <f t="shared" si="24"/>
        <v>0.87434420209213004</v>
      </c>
      <c r="K59">
        <f t="shared" si="36"/>
        <v>-0.83525357659029842</v>
      </c>
      <c r="L59">
        <f t="shared" si="37"/>
        <v>6.0628043531649786E-4</v>
      </c>
      <c r="M59">
        <f t="shared" si="38"/>
        <v>-441.40424231464505</v>
      </c>
      <c r="N59">
        <f t="shared" si="39"/>
        <v>211.44428030877475</v>
      </c>
      <c r="O59">
        <f t="shared" si="40"/>
        <v>-310.68014227111365</v>
      </c>
      <c r="Q59" s="11">
        <v>1</v>
      </c>
      <c r="R59" s="11">
        <f t="shared" si="25"/>
        <v>-1.0422837371417999</v>
      </c>
      <c r="S59" s="11">
        <f t="shared" si="26"/>
        <v>-1.1639865237192415</v>
      </c>
      <c r="T59" s="11">
        <f t="shared" si="41"/>
        <v>-0.18687164495537467</v>
      </c>
      <c r="U59" s="11">
        <f t="shared" si="42"/>
        <v>-36.778640641884842</v>
      </c>
      <c r="V59" s="11">
        <f t="shared" si="43"/>
        <v>-158.06525796245847</v>
      </c>
      <c r="W59" s="11">
        <f t="shared" si="44"/>
        <v>3383.2673324849093</v>
      </c>
      <c r="X59" s="11">
        <f t="shared" si="45"/>
        <v>-3354.3535220636495</v>
      </c>
      <c r="Y59" s="11">
        <f t="shared" si="27"/>
        <v>28.913810421259768</v>
      </c>
      <c r="AC59" s="3">
        <f t="shared" si="28"/>
        <v>0</v>
      </c>
      <c r="AD59" s="3">
        <f t="shared" si="29"/>
        <v>0</v>
      </c>
      <c r="AE59" s="3">
        <f t="shared" si="30"/>
        <v>76.184011891894102</v>
      </c>
      <c r="AF59" s="3">
        <f t="shared" si="31"/>
        <v>-302.56917718898143</v>
      </c>
      <c r="AG59" s="3">
        <f t="shared" si="32"/>
        <v>400.71571405725183</v>
      </c>
    </row>
    <row r="60" spans="1:33">
      <c r="A60" s="5">
        <v>43908</v>
      </c>
      <c r="B60" s="28">
        <v>2401.5</v>
      </c>
      <c r="C60" s="29">
        <v>567.25</v>
      </c>
      <c r="D60" s="29">
        <v>46.220384510000002</v>
      </c>
      <c r="E60">
        <f t="shared" si="33"/>
        <v>0.11780821917808219</v>
      </c>
      <c r="F60">
        <f t="shared" si="34"/>
        <v>2.7397260273972603E-3</v>
      </c>
      <c r="G60">
        <f t="shared" si="35"/>
        <v>-1.2295510130545273</v>
      </c>
      <c r="H60">
        <f t="shared" si="22"/>
        <v>-1.3881941722073423</v>
      </c>
      <c r="I60" s="1">
        <f t="shared" si="23"/>
        <v>0.89056735810140986</v>
      </c>
      <c r="J60" s="1">
        <f t="shared" si="24"/>
        <v>0.91746103679428381</v>
      </c>
      <c r="K60">
        <f t="shared" si="36"/>
        <v>-0.88814708964858236</v>
      </c>
      <c r="L60">
        <f t="shared" si="37"/>
        <v>4.9039042911009408E-4</v>
      </c>
      <c r="M60">
        <f t="shared" si="38"/>
        <v>-333.24585565017361</v>
      </c>
      <c r="N60">
        <f t="shared" si="39"/>
        <v>153.99843688135135</v>
      </c>
      <c r="O60">
        <f t="shared" si="40"/>
        <v>-318.5975570597937</v>
      </c>
      <c r="Q60" s="11">
        <v>1</v>
      </c>
      <c r="R60" s="11">
        <f t="shared" si="25"/>
        <v>-1.2162321742071915</v>
      </c>
      <c r="S60" s="11">
        <f t="shared" si="26"/>
        <v>-1.3180679741299028</v>
      </c>
      <c r="T60" s="11">
        <f t="shared" si="41"/>
        <v>-0.18310262814191408</v>
      </c>
      <c r="U60" s="11">
        <f t="shared" si="42"/>
        <v>98.672250925343405</v>
      </c>
      <c r="V60" s="11">
        <f t="shared" si="43"/>
        <v>370.02660316120324</v>
      </c>
      <c r="W60" s="11">
        <f t="shared" si="44"/>
        <v>3851.8451883246198</v>
      </c>
      <c r="X60" s="11">
        <f t="shared" si="45"/>
        <v>-3819.7479406919911</v>
      </c>
      <c r="Y60" s="11">
        <f t="shared" si="27"/>
        <v>32.097247632628751</v>
      </c>
      <c r="AC60" s="3">
        <f t="shared" si="28"/>
        <v>0</v>
      </c>
      <c r="AD60" s="3">
        <f t="shared" si="29"/>
        <v>0</v>
      </c>
      <c r="AE60" s="3">
        <f t="shared" si="30"/>
        <v>67.389374618558605</v>
      </c>
      <c r="AF60" s="3">
        <f t="shared" si="31"/>
        <v>-264.26391535135508</v>
      </c>
      <c r="AG60" s="3">
        <f t="shared" si="32"/>
        <v>446.96991235226437</v>
      </c>
    </row>
    <row r="61" spans="1:33">
      <c r="A61" s="5">
        <v>43909</v>
      </c>
      <c r="B61" s="28">
        <v>2389</v>
      </c>
      <c r="C61" s="29">
        <v>572.25</v>
      </c>
      <c r="D61" s="29">
        <v>42.20450409</v>
      </c>
      <c r="E61">
        <f t="shared" si="33"/>
        <v>0.11506849315068493</v>
      </c>
      <c r="F61">
        <f t="shared" si="34"/>
        <v>2.7397260273972603E-3</v>
      </c>
      <c r="G61">
        <f t="shared" si="35"/>
        <v>-1.4149354664840439</v>
      </c>
      <c r="H61">
        <f t="shared" si="22"/>
        <v>-1.5581005182291268</v>
      </c>
      <c r="I61" s="1">
        <f t="shared" si="23"/>
        <v>0.92145629097108539</v>
      </c>
      <c r="J61" s="1">
        <f t="shared" si="24"/>
        <v>0.9403952890578765</v>
      </c>
      <c r="K61">
        <f t="shared" si="36"/>
        <v>-0.91901023676031557</v>
      </c>
      <c r="L61">
        <f t="shared" si="37"/>
        <v>4.2752797053366914E-4</v>
      </c>
      <c r="M61">
        <f t="shared" si="38"/>
        <v>-249.45618437460669</v>
      </c>
      <c r="N61">
        <f t="shared" si="39"/>
        <v>118.49828372329563</v>
      </c>
      <c r="O61">
        <f t="shared" si="40"/>
        <v>-318.97310321608273</v>
      </c>
      <c r="Q61" s="11">
        <v>1</v>
      </c>
      <c r="R61" s="11">
        <f t="shared" si="25"/>
        <v>-1.4148166003541807</v>
      </c>
      <c r="S61" s="11">
        <f t="shared" si="26"/>
        <v>-1.492255106700368</v>
      </c>
      <c r="T61" s="11">
        <f t="shared" si="41"/>
        <v>-0.20033335169031052</v>
      </c>
      <c r="U61" s="11">
        <f t="shared" si="42"/>
        <v>113.63993786261453</v>
      </c>
      <c r="V61" s="11">
        <f t="shared" si="43"/>
        <v>416.13305971084122</v>
      </c>
      <c r="W61" s="11">
        <f t="shared" si="44"/>
        <v>4381.4885582987836</v>
      </c>
      <c r="X61" s="11">
        <f t="shared" si="45"/>
        <v>-4352.3762494598586</v>
      </c>
      <c r="Y61" s="11">
        <f t="shared" si="27"/>
        <v>29.112308838924946</v>
      </c>
      <c r="AC61" s="3">
        <f t="shared" si="28"/>
        <v>0</v>
      </c>
      <c r="AD61" s="3">
        <f t="shared" si="29"/>
        <v>0</v>
      </c>
      <c r="AE61" s="3">
        <f t="shared" si="30"/>
        <v>53.46409616103395</v>
      </c>
      <c r="AF61" s="3">
        <f t="shared" si="31"/>
        <v>-174.06583557078267</v>
      </c>
      <c r="AG61" s="3">
        <f t="shared" si="32"/>
        <v>498.933812150069</v>
      </c>
    </row>
    <row r="62" spans="1:33">
      <c r="A62" s="5">
        <v>43910</v>
      </c>
      <c r="B62" s="28">
        <v>2288.5</v>
      </c>
      <c r="C62" s="29">
        <v>665.75</v>
      </c>
      <c r="D62" s="29">
        <v>41.58978415</v>
      </c>
      <c r="E62">
        <f t="shared" si="33"/>
        <v>0.11232876712328767</v>
      </c>
      <c r="F62">
        <f t="shared" si="34"/>
        <v>2.7397260273972603E-3</v>
      </c>
      <c r="G62">
        <f t="shared" si="35"/>
        <v>-1.765088329020881</v>
      </c>
      <c r="H62">
        <f t="shared" si="22"/>
        <v>-1.9044785037609921</v>
      </c>
      <c r="I62" s="1">
        <f t="shared" si="23"/>
        <v>0.96122553907790298</v>
      </c>
      <c r="J62" s="1">
        <f t="shared" si="24"/>
        <v>0.97157605316651674</v>
      </c>
      <c r="K62">
        <f t="shared" si="36"/>
        <v>-0.95873458946491785</v>
      </c>
      <c r="L62">
        <f t="shared" si="37"/>
        <v>2.6270591987100723E-4</v>
      </c>
      <c r="M62">
        <f t="shared" si="38"/>
        <v>-150.48537803247117</v>
      </c>
      <c r="N62">
        <f t="shared" si="39"/>
        <v>64.276075403956241</v>
      </c>
      <c r="O62">
        <f t="shared" si="40"/>
        <v>-321.70881357813818</v>
      </c>
      <c r="Q62" s="11">
        <v>1</v>
      </c>
      <c r="R62" s="11">
        <f t="shared" si="25"/>
        <v>-1.58559614317231</v>
      </c>
      <c r="S62" s="11">
        <f t="shared" si="26"/>
        <v>-1.5954096831242464</v>
      </c>
      <c r="T62" s="11">
        <f t="shared" si="41"/>
        <v>-0.22562752620109441</v>
      </c>
      <c r="U62" s="11">
        <f t="shared" si="42"/>
        <v>113.69648063116962</v>
      </c>
      <c r="V62" s="11">
        <f t="shared" si="43"/>
        <v>236.06924814604565</v>
      </c>
      <c r="W62" s="11">
        <f t="shared" si="44"/>
        <v>4731.1090876121925</v>
      </c>
      <c r="X62" s="11">
        <f t="shared" si="45"/>
        <v>-4699.7056921468029</v>
      </c>
      <c r="Y62" s="11">
        <f t="shared" si="27"/>
        <v>31.403395465389622</v>
      </c>
      <c r="AC62" s="3">
        <f t="shared" si="28"/>
        <v>0</v>
      </c>
      <c r="AD62" s="3">
        <f t="shared" si="29"/>
        <v>0</v>
      </c>
      <c r="AE62" s="3">
        <f t="shared" si="30"/>
        <v>6.8592901542074287</v>
      </c>
      <c r="AF62" s="3">
        <f t="shared" si="31"/>
        <v>26.582419851083557</v>
      </c>
      <c r="AG62" s="3">
        <f t="shared" si="32"/>
        <v>528.19151142607484</v>
      </c>
    </row>
    <row r="63" spans="1:33">
      <c r="A63" s="5">
        <v>43913</v>
      </c>
      <c r="B63" s="28">
        <v>2220.5</v>
      </c>
      <c r="C63" s="29">
        <v>732.5</v>
      </c>
      <c r="D63" s="29">
        <v>45.233885290000003</v>
      </c>
      <c r="E63">
        <f t="shared" si="33"/>
        <v>0.10410958904109589</v>
      </c>
      <c r="F63">
        <f t="shared" si="34"/>
        <v>8.21917808219178E-3</v>
      </c>
      <c r="G63">
        <f t="shared" si="35"/>
        <v>-1.8850698817493619</v>
      </c>
      <c r="H63">
        <f t="shared" si="22"/>
        <v>-2.0310216155429064</v>
      </c>
      <c r="I63" s="1">
        <f t="shared" si="23"/>
        <v>0.97028979816064109</v>
      </c>
      <c r="J63" s="1">
        <f t="shared" si="24"/>
        <v>0.97887359903273441</v>
      </c>
      <c r="K63">
        <f t="shared" si="36"/>
        <v>-0.96795912133666029</v>
      </c>
      <c r="L63">
        <f t="shared" si="37"/>
        <v>2.0776642487225483E-4</v>
      </c>
      <c r="M63">
        <f t="shared" si="38"/>
        <v>-135.11935411150557</v>
      </c>
      <c r="N63">
        <f t="shared" si="39"/>
        <v>48.242693369108501</v>
      </c>
      <c r="O63">
        <f t="shared" si="40"/>
        <v>-300.4252479469734</v>
      </c>
      <c r="Q63" s="11">
        <v>1</v>
      </c>
      <c r="R63" s="11">
        <f t="shared" si="25"/>
        <v>-1.3185762733946274</v>
      </c>
      <c r="S63" s="11">
        <f t="shared" si="26"/>
        <v>-1.3155533433436495</v>
      </c>
      <c r="T63" s="11">
        <f t="shared" si="41"/>
        <v>-0.6932737227963498</v>
      </c>
      <c r="U63" s="11">
        <f t="shared" si="42"/>
        <v>-195.59205461215254</v>
      </c>
      <c r="V63" s="11">
        <f t="shared" si="43"/>
        <v>-621.42100248281531</v>
      </c>
      <c r="W63" s="11">
        <f t="shared" si="44"/>
        <v>3913.6632990165826</v>
      </c>
      <c r="X63" s="11">
        <f t="shared" si="45"/>
        <v>-3882.0433191561383</v>
      </c>
      <c r="Y63" s="11">
        <f t="shared" si="27"/>
        <v>31.619979860444346</v>
      </c>
      <c r="AC63" s="3">
        <f t="shared" si="28"/>
        <v>0</v>
      </c>
      <c r="AD63" s="3">
        <f t="shared" si="29"/>
        <v>0</v>
      </c>
      <c r="AE63" s="3">
        <f t="shared" si="30"/>
        <v>-2.8722992626221142</v>
      </c>
      <c r="AF63" s="3">
        <f t="shared" si="31"/>
        <v>53.631623777513752</v>
      </c>
      <c r="AG63" s="3">
        <f t="shared" si="32"/>
        <v>404.70266576524705</v>
      </c>
    </row>
    <row r="64" spans="1:33">
      <c r="A64" s="5">
        <v>43914</v>
      </c>
      <c r="B64" s="28">
        <v>2438</v>
      </c>
      <c r="C64" s="29">
        <v>527.5</v>
      </c>
      <c r="D64" s="29">
        <v>44.712819449999998</v>
      </c>
      <c r="E64">
        <f t="shared" si="33"/>
        <v>0.10136986301369863</v>
      </c>
      <c r="F64">
        <f t="shared" si="34"/>
        <v>2.7397260273972603E-3</v>
      </c>
      <c r="G64">
        <f t="shared" si="35"/>
        <v>-1.2795526579359955</v>
      </c>
      <c r="H64">
        <f t="shared" si="22"/>
        <v>-1.4219121683575315</v>
      </c>
      <c r="I64" s="1">
        <f t="shared" si="23"/>
        <v>0.89964874557005958</v>
      </c>
      <c r="J64" s="1">
        <f t="shared" si="24"/>
        <v>0.92247412487979086</v>
      </c>
      <c r="K64">
        <f t="shared" si="36"/>
        <v>-0.8975445532267825</v>
      </c>
      <c r="L64">
        <f t="shared" si="37"/>
        <v>5.0576352898457977E-4</v>
      </c>
      <c r="M64">
        <f t="shared" si="38"/>
        <v>-332.83056181217756</v>
      </c>
      <c r="N64">
        <f t="shared" si="39"/>
        <v>136.25606009507408</v>
      </c>
      <c r="O64">
        <f t="shared" si="40"/>
        <v>-275.67038035894268</v>
      </c>
      <c r="Q64" s="11">
        <v>1</v>
      </c>
      <c r="R64" s="11">
        <f t="shared" si="25"/>
        <v>-1.3092242368375153</v>
      </c>
      <c r="S64" s="11">
        <f t="shared" si="26"/>
        <v>-1.3415149220678952</v>
      </c>
      <c r="T64" s="11">
        <f t="shared" si="41"/>
        <v>-0.18488092204568662</v>
      </c>
      <c r="U64" s="11">
        <f t="shared" si="42"/>
        <v>-4.9331992838765961</v>
      </c>
      <c r="V64" s="11">
        <f t="shared" si="43"/>
        <v>63.294328929711163</v>
      </c>
      <c r="W64" s="11">
        <f t="shared" si="44"/>
        <v>3971.9113882465872</v>
      </c>
      <c r="X64" s="11">
        <f t="shared" si="45"/>
        <v>-3936.2291649333179</v>
      </c>
      <c r="Y64" s="11">
        <f t="shared" si="27"/>
        <v>35.682223313269333</v>
      </c>
      <c r="AC64" s="3">
        <f t="shared" si="28"/>
        <v>0</v>
      </c>
      <c r="AD64" s="3">
        <f t="shared" si="29"/>
        <v>0</v>
      </c>
      <c r="AE64" s="3">
        <f t="shared" si="30"/>
        <v>15.210775358154535</v>
      </c>
      <c r="AF64" s="3">
        <f t="shared" si="31"/>
        <v>-20.76629595613673</v>
      </c>
      <c r="AG64" s="3">
        <f t="shared" si="32"/>
        <v>398.82704481504305</v>
      </c>
    </row>
    <row r="65" spans="1:33">
      <c r="A65" s="5">
        <v>43915</v>
      </c>
      <c r="B65" s="28">
        <v>2467</v>
      </c>
      <c r="C65" s="29">
        <v>498.5</v>
      </c>
      <c r="D65" s="29">
        <v>43.132901070000003</v>
      </c>
      <c r="E65">
        <f t="shared" si="33"/>
        <v>9.8630136986301367E-2</v>
      </c>
      <c r="F65">
        <f t="shared" si="34"/>
        <v>2.7397260273972603E-3</v>
      </c>
      <c r="G65">
        <f t="shared" si="35"/>
        <v>-1.26416732952393</v>
      </c>
      <c r="H65">
        <f t="shared" si="22"/>
        <v>-1.39962808314846</v>
      </c>
      <c r="I65" s="1">
        <f t="shared" si="23"/>
        <v>0.89691501279758112</v>
      </c>
      <c r="J65" s="1">
        <f t="shared" si="24"/>
        <v>0.91918764009995146</v>
      </c>
      <c r="K65">
        <f t="shared" si="36"/>
        <v>-0.89487384708344764</v>
      </c>
      <c r="L65">
        <f t="shared" si="37"/>
        <v>5.3568663575076156E-4</v>
      </c>
      <c r="M65">
        <f t="shared" si="38"/>
        <v>-336.11595015309751</v>
      </c>
      <c r="N65">
        <f t="shared" si="39"/>
        <v>138.69711143038188</v>
      </c>
      <c r="O65">
        <f t="shared" si="40"/>
        <v>-267.26915275131648</v>
      </c>
      <c r="Q65" s="11">
        <v>1</v>
      </c>
      <c r="R65" s="11">
        <f t="shared" si="25"/>
        <v>-1.3027990333204786</v>
      </c>
      <c r="S65" s="11">
        <f t="shared" si="26"/>
        <v>-1.3681927796389262</v>
      </c>
      <c r="T65" s="11">
        <f t="shared" si="41"/>
        <v>-0.2069960544036738</v>
      </c>
      <c r="U65" s="11">
        <f t="shared" si="42"/>
        <v>-3.2029639532427856</v>
      </c>
      <c r="V65" s="11">
        <f t="shared" si="43"/>
        <v>65.814274627733269</v>
      </c>
      <c r="W65" s="11">
        <f t="shared" si="44"/>
        <v>4034.3886125942031</v>
      </c>
      <c r="X65" s="11">
        <f t="shared" si="45"/>
        <v>-3996.5269054794894</v>
      </c>
      <c r="Y65" s="11">
        <f t="shared" si="27"/>
        <v>37.861707114713681</v>
      </c>
      <c r="AC65" s="3">
        <f t="shared" si="28"/>
        <v>0</v>
      </c>
      <c r="AD65" s="3">
        <f t="shared" si="29"/>
        <v>0</v>
      </c>
      <c r="AE65" s="3">
        <f t="shared" si="30"/>
        <v>37.538136166522122</v>
      </c>
      <c r="AF65" s="3">
        <f t="shared" si="31"/>
        <v>-129.9569264999995</v>
      </c>
      <c r="AG65" s="3">
        <f t="shared" si="32"/>
        <v>393.17657638948401</v>
      </c>
    </row>
    <row r="66" spans="1:33">
      <c r="A66" s="5">
        <v>43916</v>
      </c>
      <c r="B66" s="28">
        <v>2608</v>
      </c>
      <c r="C66" s="29">
        <v>368</v>
      </c>
      <c r="D66" s="29">
        <v>38.743804330000003</v>
      </c>
      <c r="E66">
        <f t="shared" si="33"/>
        <v>9.5890410958904104E-2</v>
      </c>
      <c r="F66">
        <f t="shared" si="34"/>
        <v>2.7397260273972603E-3</v>
      </c>
      <c r="G66">
        <f t="shared" si="35"/>
        <v>-0.98018257181452273</v>
      </c>
      <c r="H66">
        <f t="shared" si="22"/>
        <v>-1.1001573215422547</v>
      </c>
      <c r="I66" s="1">
        <f t="shared" si="23"/>
        <v>0.83650199709771511</v>
      </c>
      <c r="J66" s="1">
        <f t="shared" si="24"/>
        <v>0.86436820892860056</v>
      </c>
      <c r="K66">
        <f t="shared" si="36"/>
        <v>-0.83465113852551476</v>
      </c>
      <c r="L66">
        <f t="shared" si="37"/>
        <v>7.8690936252212465E-4</v>
      </c>
      <c r="M66">
        <f t="shared" si="38"/>
        <v>-434.92176608128364</v>
      </c>
      <c r="N66">
        <f t="shared" si="39"/>
        <v>198.846215245227</v>
      </c>
      <c r="O66">
        <f t="shared" si="40"/>
        <v>-244.35259856632319</v>
      </c>
      <c r="Q66" s="11">
        <v>1</v>
      </c>
      <c r="R66" s="11">
        <f t="shared" si="25"/>
        <v>-1.0565562646202606</v>
      </c>
      <c r="S66" s="11">
        <f t="shared" si="26"/>
        <v>-1.1907346731737518</v>
      </c>
      <c r="T66" s="11">
        <f t="shared" si="41"/>
        <v>-0.21362363560354342</v>
      </c>
      <c r="U66" s="11">
        <f t="shared" si="42"/>
        <v>-90.617338881680226</v>
      </c>
      <c r="V66" s="11">
        <f t="shared" si="43"/>
        <v>-462.81074166117469</v>
      </c>
      <c r="W66" s="11">
        <f t="shared" si="44"/>
        <v>3480.8209649960004</v>
      </c>
      <c r="X66" s="11">
        <f t="shared" si="45"/>
        <v>-3444.2487330174008</v>
      </c>
      <c r="Y66" s="11">
        <f t="shared" si="27"/>
        <v>36.572231978599575</v>
      </c>
      <c r="AC66" s="3">
        <f t="shared" si="28"/>
        <v>0</v>
      </c>
      <c r="AD66" s="3">
        <f t="shared" si="29"/>
        <v>0</v>
      </c>
      <c r="AE66" s="3">
        <f t="shared" si="30"/>
        <v>74.018147842474093</v>
      </c>
      <c r="AF66" s="3">
        <f t="shared" si="31"/>
        <v>-302.93038926973628</v>
      </c>
      <c r="AG66" s="3">
        <f t="shared" si="32"/>
        <v>327.90709667658945</v>
      </c>
    </row>
    <row r="67" spans="1:33">
      <c r="A67" s="5">
        <v>43917</v>
      </c>
      <c r="B67" s="28">
        <v>2524</v>
      </c>
      <c r="C67" s="29">
        <v>440.5</v>
      </c>
      <c r="D67" s="29">
        <v>39.284738339999997</v>
      </c>
      <c r="E67">
        <f t="shared" si="33"/>
        <v>9.3150684931506855E-2</v>
      </c>
      <c r="F67">
        <f t="shared" si="34"/>
        <v>2.7397260273972603E-3</v>
      </c>
      <c r="G67">
        <f t="shared" si="35"/>
        <v>-1.2535509673110616</v>
      </c>
      <c r="H67">
        <f t="shared" si="22"/>
        <v>-1.3734503345435449</v>
      </c>
      <c r="I67" s="1">
        <f t="shared" si="23"/>
        <v>0.89499736860257906</v>
      </c>
      <c r="J67" s="1">
        <f t="shared" si="24"/>
        <v>0.91519380448382992</v>
      </c>
      <c r="K67">
        <f t="shared" si="36"/>
        <v>-0.8930736009346194</v>
      </c>
      <c r="L67">
        <f t="shared" si="37"/>
        <v>5.995788552677849E-4</v>
      </c>
      <c r="M67">
        <f t="shared" si="38"/>
        <v>-328.73508781691464</v>
      </c>
      <c r="N67">
        <f t="shared" si="39"/>
        <v>139.77674641782136</v>
      </c>
      <c r="O67">
        <f t="shared" si="40"/>
        <v>-251.33333420870119</v>
      </c>
      <c r="Q67" s="11">
        <v>1</v>
      </c>
      <c r="R67" s="11">
        <f t="shared" si="25"/>
        <v>-1.2649316779001865</v>
      </c>
      <c r="S67" s="11">
        <f t="shared" si="26"/>
        <v>-1.3743474860236502</v>
      </c>
      <c r="T67" s="11">
        <f t="shared" si="41"/>
        <v>-0.19654203363028089</v>
      </c>
      <c r="U67" s="11">
        <f t="shared" si="42"/>
        <v>91.789369549807319</v>
      </c>
      <c r="V67" s="11">
        <f t="shared" si="43"/>
        <v>463.43873963314354</v>
      </c>
      <c r="W67" s="11">
        <f t="shared" si="44"/>
        <v>4035.9164272535777</v>
      </c>
      <c r="X67" s="11">
        <f t="shared" si="45"/>
        <v>-3995.5554588387254</v>
      </c>
      <c r="Y67" s="11">
        <f t="shared" si="27"/>
        <v>40.360968414852323</v>
      </c>
      <c r="AC67" s="3">
        <f t="shared" si="28"/>
        <v>0</v>
      </c>
      <c r="AD67" s="3">
        <f t="shared" si="29"/>
        <v>0</v>
      </c>
      <c r="AE67" s="3">
        <f t="shared" si="30"/>
        <v>64.943776894338839</v>
      </c>
      <c r="AF67" s="3">
        <f t="shared" si="31"/>
        <v>-270.69330106783138</v>
      </c>
      <c r="AG67" s="3">
        <f t="shared" si="32"/>
        <v>370.19861359900159</v>
      </c>
    </row>
    <row r="68" spans="1:33">
      <c r="A68" s="5">
        <v>43920</v>
      </c>
      <c r="B68" s="28">
        <v>2611.25</v>
      </c>
      <c r="C68" s="29">
        <v>354.5</v>
      </c>
      <c r="D68" s="29">
        <v>35.001327910000001</v>
      </c>
      <c r="E68">
        <f t="shared" si="33"/>
        <v>8.4931506849315067E-2</v>
      </c>
      <c r="F68">
        <f t="shared" si="34"/>
        <v>8.21917808219178E-3</v>
      </c>
      <c r="G68">
        <f t="shared" si="35"/>
        <v>-1.1584456688105875</v>
      </c>
      <c r="H68">
        <f t="shared" si="22"/>
        <v>-1.2604500759398791</v>
      </c>
      <c r="I68" s="1">
        <f t="shared" si="23"/>
        <v>0.8766588942925535</v>
      </c>
      <c r="J68" s="1">
        <f t="shared" si="24"/>
        <v>0.896246476582509</v>
      </c>
      <c r="K68">
        <f t="shared" si="36"/>
        <v>-0.87494064767656954</v>
      </c>
      <c r="L68">
        <f t="shared" si="37"/>
        <v>7.641521127211017E-4</v>
      </c>
      <c r="M68">
        <f t="shared" si="38"/>
        <v>-354.23745174972453</v>
      </c>
      <c r="N68">
        <f t="shared" si="39"/>
        <v>154.89238779591332</v>
      </c>
      <c r="O68">
        <f t="shared" si="40"/>
        <v>-224.42496973250928</v>
      </c>
      <c r="Q68" s="11">
        <v>1</v>
      </c>
      <c r="R68" s="11">
        <f t="shared" si="25"/>
        <v>-1.1741706055082508</v>
      </c>
      <c r="S68" s="11">
        <f t="shared" si="26"/>
        <v>-1.3126494375352005</v>
      </c>
      <c r="T68" s="11">
        <f t="shared" si="41"/>
        <v>-0.65866942154989117</v>
      </c>
      <c r="U68" s="11">
        <f t="shared" si="42"/>
        <v>-32.174800162941189</v>
      </c>
      <c r="V68" s="11">
        <f t="shared" si="43"/>
        <v>-161.10902911546435</v>
      </c>
      <c r="W68" s="11">
        <f t="shared" si="44"/>
        <v>3842.1961865094022</v>
      </c>
      <c r="X68" s="11">
        <f t="shared" si="45"/>
        <v>-3808.8993234164673</v>
      </c>
      <c r="Y68" s="11">
        <f t="shared" si="27"/>
        <v>33.296863092934927</v>
      </c>
      <c r="AC68" s="3">
        <f t="shared" si="28"/>
        <v>0</v>
      </c>
      <c r="AD68" s="3">
        <f t="shared" si="29"/>
        <v>0</v>
      </c>
      <c r="AE68" s="3">
        <f t="shared" si="30"/>
        <v>76.361237760094895</v>
      </c>
      <c r="AF68" s="3">
        <f t="shared" si="31"/>
        <v>-326.94044716852545</v>
      </c>
      <c r="AG68" s="3">
        <f t="shared" si="32"/>
        <v>321.39557387368376</v>
      </c>
    </row>
    <row r="69" spans="1:33">
      <c r="A69" s="5">
        <v>43921</v>
      </c>
      <c r="B69" s="28">
        <v>2569.75</v>
      </c>
      <c r="C69" s="29">
        <v>385.5</v>
      </c>
      <c r="D69" s="29">
        <v>30.089224269999999</v>
      </c>
      <c r="E69">
        <f t="shared" si="33"/>
        <v>8.2191780821917804E-2</v>
      </c>
      <c r="F69">
        <f t="shared" si="34"/>
        <v>2.7397260273972603E-3</v>
      </c>
      <c r="G69">
        <f t="shared" si="35"/>
        <v>-1.5722110050478355</v>
      </c>
      <c r="H69">
        <f t="shared" si="22"/>
        <v>-1.6584741299417824</v>
      </c>
      <c r="I69" s="1">
        <f t="shared" si="23"/>
        <v>0.94204918797639992</v>
      </c>
      <c r="J69" s="1">
        <f t="shared" si="24"/>
        <v>0.95138909752054412</v>
      </c>
      <c r="K69">
        <f t="shared" si="36"/>
        <v>-0.94026228187126204</v>
      </c>
      <c r="L69">
        <f t="shared" si="37"/>
        <v>5.2193279662508991E-4</v>
      </c>
      <c r="M69">
        <f t="shared" si="38"/>
        <v>-193.04415980826133</v>
      </c>
      <c r="N69">
        <f t="shared" si="39"/>
        <v>85.238484289777617</v>
      </c>
      <c r="O69">
        <f t="shared" si="40"/>
        <v>-230.55227770071355</v>
      </c>
      <c r="Q69" s="11">
        <v>1</v>
      </c>
      <c r="R69" s="11">
        <f t="shared" si="25"/>
        <v>-1.7103709002783716</v>
      </c>
      <c r="S69" s="11">
        <f t="shared" si="26"/>
        <v>-1.8231960732328176</v>
      </c>
      <c r="T69" s="11">
        <f t="shared" si="41"/>
        <v>-0.21693522072990137</v>
      </c>
      <c r="U69" s="11">
        <f t="shared" si="42"/>
        <v>206.70521363388156</v>
      </c>
      <c r="V69" s="11">
        <f t="shared" si="43"/>
        <v>1311.9772170839517</v>
      </c>
      <c r="W69" s="11">
        <f t="shared" si="44"/>
        <v>5360.7322106386155</v>
      </c>
      <c r="X69" s="11">
        <f t="shared" si="45"/>
        <v>-5329.7560912473455</v>
      </c>
      <c r="Y69" s="11">
        <f t="shared" si="27"/>
        <v>30.976119391270004</v>
      </c>
      <c r="AC69" s="3">
        <f t="shared" si="28"/>
        <v>0</v>
      </c>
      <c r="AD69" s="3">
        <f t="shared" si="29"/>
        <v>0</v>
      </c>
      <c r="AE69" s="3">
        <f t="shared" si="30"/>
        <v>69.302149761132767</v>
      </c>
      <c r="AF69" s="3">
        <f t="shared" si="31"/>
        <v>-241.37160415557304</v>
      </c>
      <c r="AG69" s="3">
        <f t="shared" si="32"/>
        <v>436.58032823313431</v>
      </c>
    </row>
    <row r="70" spans="1:33">
      <c r="A70" s="5">
        <v>43922</v>
      </c>
      <c r="B70" s="28">
        <v>2448</v>
      </c>
      <c r="C70" s="29">
        <v>504.75</v>
      </c>
      <c r="D70" s="29">
        <v>35.182492449999998</v>
      </c>
      <c r="E70">
        <f t="shared" si="33"/>
        <v>7.9452054794520555E-2</v>
      </c>
      <c r="F70">
        <f t="shared" si="34"/>
        <v>2.7397260273972603E-3</v>
      </c>
      <c r="G70">
        <f t="shared" si="35"/>
        <v>-1.8445092509477485</v>
      </c>
      <c r="H70">
        <f t="shared" si="22"/>
        <v>-1.9436789898623648</v>
      </c>
      <c r="I70" s="1">
        <f t="shared" si="23"/>
        <v>0.96744552055769617</v>
      </c>
      <c r="J70" s="1">
        <f t="shared" si="24"/>
        <v>0.97403291311222651</v>
      </c>
      <c r="K70">
        <f t="shared" si="36"/>
        <v>-0.96567155512552316</v>
      </c>
      <c r="L70">
        <f t="shared" si="37"/>
        <v>2.9932358513467947E-4</v>
      </c>
      <c r="M70">
        <f t="shared" si="38"/>
        <v>-146.382410676966</v>
      </c>
      <c r="N70">
        <f t="shared" si="39"/>
        <v>50.141289868979491</v>
      </c>
      <c r="O70">
        <f t="shared" si="40"/>
        <v>-228.17580645255472</v>
      </c>
      <c r="Q70" s="11">
        <v>1</v>
      </c>
      <c r="R70" s="11">
        <f t="shared" si="25"/>
        <v>-2.1582975887786775</v>
      </c>
      <c r="S70" s="11">
        <f t="shared" si="26"/>
        <v>-2.2056053275436738</v>
      </c>
      <c r="T70" s="11">
        <f t="shared" si="41"/>
        <v>-0.29652212908737635</v>
      </c>
      <c r="U70" s="11">
        <f t="shared" si="42"/>
        <v>226.09099602052942</v>
      </c>
      <c r="V70" s="11">
        <f t="shared" si="43"/>
        <v>936.13785455297591</v>
      </c>
      <c r="W70" s="11">
        <f t="shared" si="44"/>
        <v>6522.7629424678607</v>
      </c>
      <c r="X70" s="11">
        <f t="shared" si="45"/>
        <v>-6482.2225497629506</v>
      </c>
      <c r="Y70" s="11">
        <f t="shared" si="27"/>
        <v>40.540392704910118</v>
      </c>
      <c r="AC70" s="3">
        <f t="shared" si="28"/>
        <v>0</v>
      </c>
      <c r="AD70" s="3">
        <f t="shared" si="29"/>
        <v>0</v>
      </c>
      <c r="AE70" s="3">
        <f t="shared" si="30"/>
        <v>30.867676904683165</v>
      </c>
      <c r="AF70" s="3">
        <f t="shared" si="31"/>
        <v>-74.857073357083436</v>
      </c>
      <c r="AG70" s="3">
        <f t="shared" si="32"/>
        <v>514.64669001827917</v>
      </c>
    </row>
    <row r="71" spans="1:33">
      <c r="A71" s="5">
        <v>43923</v>
      </c>
      <c r="B71" s="28">
        <v>2516.5</v>
      </c>
      <c r="C71" s="29">
        <v>436.5</v>
      </c>
      <c r="D71" s="29">
        <v>31.630679369999999</v>
      </c>
      <c r="E71">
        <f t="shared" si="33"/>
        <v>7.6712328767123292E-2</v>
      </c>
      <c r="F71">
        <f t="shared" si="34"/>
        <v>2.7397260273972603E-3</v>
      </c>
      <c r="G71">
        <f t="shared" si="35"/>
        <v>-1.7847414636638377</v>
      </c>
      <c r="H71">
        <f t="shared" si="22"/>
        <v>-1.8723489265463851</v>
      </c>
      <c r="I71" s="1">
        <f t="shared" si="23"/>
        <v>0.96284836897751236</v>
      </c>
      <c r="J71" s="1">
        <f t="shared" si="24"/>
        <v>0.96942082699957266</v>
      </c>
      <c r="K71">
        <f t="shared" si="36"/>
        <v>-0.96114365977401894</v>
      </c>
      <c r="L71">
        <f t="shared" si="37"/>
        <v>3.6738622894970591E-4</v>
      </c>
      <c r="M71">
        <f t="shared" si="38"/>
        <v>-153.10844496480547</v>
      </c>
      <c r="N71">
        <f t="shared" si="39"/>
        <v>56.453442417910381</v>
      </c>
      <c r="O71">
        <f t="shared" si="40"/>
        <v>-219.26853413773958</v>
      </c>
      <c r="Q71" s="11">
        <v>1</v>
      </c>
      <c r="R71" s="11">
        <f t="shared" si="25"/>
        <v>-2.1234324109873173</v>
      </c>
      <c r="S71" s="11">
        <f t="shared" si="26"/>
        <v>-2.1845983267063702</v>
      </c>
      <c r="T71" s="11">
        <f t="shared" si="41"/>
        <v>-0.34172131886564522</v>
      </c>
      <c r="U71" s="11">
        <f t="shared" si="42"/>
        <v>-15.218650105928738</v>
      </c>
      <c r="V71" s="11">
        <f t="shared" si="43"/>
        <v>-52.864117607074405</v>
      </c>
      <c r="W71" s="11">
        <f t="shared" si="44"/>
        <v>6454.4581874437245</v>
      </c>
      <c r="X71" s="11">
        <f t="shared" si="45"/>
        <v>-6417.6699365525446</v>
      </c>
      <c r="Y71" s="11">
        <f t="shared" si="27"/>
        <v>36.788250891179814</v>
      </c>
      <c r="AC71" s="3">
        <f t="shared" si="28"/>
        <v>0</v>
      </c>
      <c r="AD71" s="3">
        <f t="shared" si="29"/>
        <v>0</v>
      </c>
      <c r="AE71" s="3">
        <f t="shared" si="30"/>
        <v>37.914710380629018</v>
      </c>
      <c r="AF71" s="3">
        <f t="shared" si="31"/>
        <v>-97.014389683885781</v>
      </c>
      <c r="AG71" s="3">
        <f t="shared" si="32"/>
        <v>491.7448079278708</v>
      </c>
    </row>
    <row r="72" spans="1:33">
      <c r="A72" s="5">
        <v>43924</v>
      </c>
      <c r="B72" s="28">
        <v>2482.75</v>
      </c>
      <c r="C72" s="29">
        <v>469</v>
      </c>
      <c r="D72" s="29">
        <v>31.865699589999998</v>
      </c>
      <c r="E72">
        <f t="shared" si="33"/>
        <v>7.3972602739726029E-2</v>
      </c>
      <c r="F72">
        <f t="shared" si="34"/>
        <v>2.7397260273972603E-3</v>
      </c>
      <c r="G72">
        <f t="shared" si="35"/>
        <v>-1.9603057517287934</v>
      </c>
      <c r="H72">
        <f t="shared" si="22"/>
        <v>-2.0469737782227813</v>
      </c>
      <c r="I72" s="1">
        <f t="shared" si="23"/>
        <v>0.9750199679182987</v>
      </c>
      <c r="J72" s="1">
        <f t="shared" si="24"/>
        <v>0.97966967039379216</v>
      </c>
      <c r="K72">
        <f t="shared" si="36"/>
        <v>-0.97335530851525176</v>
      </c>
      <c r="L72">
        <f t="shared" si="37"/>
        <v>2.7097107697783747E-4</v>
      </c>
      <c r="M72">
        <f t="shared" si="38"/>
        <v>-121.27178444051017</v>
      </c>
      <c r="N72">
        <f t="shared" si="39"/>
        <v>39.371619186761407</v>
      </c>
      <c r="O72">
        <f t="shared" si="40"/>
        <v>-213.67678229193197</v>
      </c>
      <c r="Q72" s="11">
        <v>1</v>
      </c>
      <c r="R72" s="11">
        <f t="shared" si="25"/>
        <v>-2.2742856166682444</v>
      </c>
      <c r="S72" s="11">
        <f t="shared" si="26"/>
        <v>-2.2959004569984161</v>
      </c>
      <c r="T72" s="11">
        <f t="shared" si="41"/>
        <v>-0.3479376209775637</v>
      </c>
      <c r="U72" s="11">
        <f t="shared" si="42"/>
        <v>70.750153464354796</v>
      </c>
      <c r="V72" s="11">
        <f t="shared" si="43"/>
        <v>276.33536398257678</v>
      </c>
      <c r="W72" s="11">
        <f t="shared" si="44"/>
        <v>6801.3142474525921</v>
      </c>
      <c r="X72" s="11">
        <f t="shared" si="45"/>
        <v>-6763.2868138302238</v>
      </c>
      <c r="Y72" s="11">
        <f t="shared" si="27"/>
        <v>38.027433622368335</v>
      </c>
      <c r="AC72" s="3">
        <f t="shared" si="28"/>
        <v>0</v>
      </c>
      <c r="AD72" s="3">
        <f t="shared" si="29"/>
        <v>0</v>
      </c>
      <c r="AE72" s="3">
        <f t="shared" si="30"/>
        <v>12.890348619797962</v>
      </c>
      <c r="AF72" s="3">
        <f t="shared" si="31"/>
        <v>26.824119920557621</v>
      </c>
      <c r="AG72" s="3">
        <f t="shared" si="32"/>
        <v>500.38734011986043</v>
      </c>
    </row>
    <row r="73" spans="1:33">
      <c r="A73" s="5">
        <v>43927</v>
      </c>
      <c r="B73" s="28">
        <v>2644.5</v>
      </c>
      <c r="C73" s="29">
        <v>311.5</v>
      </c>
      <c r="D73" s="29">
        <v>28.648017750000001</v>
      </c>
      <c r="E73">
        <f t="shared" si="33"/>
        <v>6.575342465753424E-2</v>
      </c>
      <c r="F73">
        <f t="shared" si="34"/>
        <v>8.21917808219178E-3</v>
      </c>
      <c r="G73">
        <f t="shared" si="35"/>
        <v>-1.4661392479248934</v>
      </c>
      <c r="H73">
        <f t="shared" si="22"/>
        <v>-1.5395997285951308</v>
      </c>
      <c r="I73" s="1">
        <f t="shared" si="23"/>
        <v>0.92869482237083301</v>
      </c>
      <c r="J73" s="1">
        <f t="shared" si="24"/>
        <v>0.9381710241577359</v>
      </c>
      <c r="K73">
        <f t="shared" si="36"/>
        <v>-0.92728529472823418</v>
      </c>
      <c r="L73">
        <f t="shared" si="37"/>
        <v>6.9997273081849067E-4</v>
      </c>
      <c r="M73">
        <f t="shared" si="38"/>
        <v>-238.98688364369582</v>
      </c>
      <c r="N73">
        <f t="shared" si="39"/>
        <v>92.210678656162116</v>
      </c>
      <c r="O73">
        <f t="shared" si="40"/>
        <v>-181.89932234384821</v>
      </c>
      <c r="Q73" s="11">
        <v>1</v>
      </c>
      <c r="R73" s="11">
        <f t="shared" si="25"/>
        <v>-1.5829767317490602</v>
      </c>
      <c r="S73" s="11">
        <f t="shared" si="26"/>
        <v>-1.7142187327675422</v>
      </c>
      <c r="T73" s="11">
        <f t="shared" si="41"/>
        <v>-1.0823498071381015</v>
      </c>
      <c r="U73" s="11">
        <f t="shared" si="42"/>
        <v>-215.34271765232589</v>
      </c>
      <c r="V73" s="11">
        <f t="shared" si="43"/>
        <v>-1538.2573197285458</v>
      </c>
      <c r="W73" s="11">
        <f t="shared" si="44"/>
        <v>5047.0064087044493</v>
      </c>
      <c r="X73" s="11">
        <f t="shared" si="45"/>
        <v>-5008.8486907435972</v>
      </c>
      <c r="Y73" s="11">
        <f t="shared" si="27"/>
        <v>38.157717960852096</v>
      </c>
      <c r="AC73" s="3">
        <f t="shared" si="28"/>
        <v>0</v>
      </c>
      <c r="AD73" s="3">
        <f t="shared" si="29"/>
        <v>0</v>
      </c>
      <c r="AE73" s="3">
        <f t="shared" si="30"/>
        <v>67.685926376097427</v>
      </c>
      <c r="AF73" s="3">
        <f t="shared" si="31"/>
        <v>-291.99556981997256</v>
      </c>
      <c r="AG73" s="3">
        <f t="shared" si="32"/>
        <v>328.13889864324074</v>
      </c>
    </row>
    <row r="74" spans="1:33">
      <c r="A74" s="5">
        <v>43928</v>
      </c>
      <c r="B74" s="28">
        <v>2642</v>
      </c>
      <c r="C74" s="29">
        <v>315.25</v>
      </c>
      <c r="D74" s="29">
        <v>30.755231899999998</v>
      </c>
      <c r="E74">
        <f t="shared" si="33"/>
        <v>6.3013698630136991E-2</v>
      </c>
      <c r="F74">
        <f t="shared" si="34"/>
        <v>2.7397260273972603E-3</v>
      </c>
      <c r="G74">
        <f t="shared" si="35"/>
        <v>-1.4030753740801207</v>
      </c>
      <c r="H74">
        <f t="shared" si="22"/>
        <v>-1.4802787856239543</v>
      </c>
      <c r="I74" s="1">
        <f t="shared" si="23"/>
        <v>0.91970281815287458</v>
      </c>
      <c r="J74" s="1">
        <f t="shared" si="24"/>
        <v>0.93060056883733289</v>
      </c>
      <c r="K74">
        <f t="shared" si="36"/>
        <v>-0.91836505748178654</v>
      </c>
      <c r="L74">
        <f t="shared" si="37"/>
        <v>7.2984070828978765E-4</v>
      </c>
      <c r="M74">
        <f t="shared" si="38"/>
        <v>-278.59846358817663</v>
      </c>
      <c r="N74">
        <f t="shared" si="39"/>
        <v>98.729670470828665</v>
      </c>
      <c r="O74">
        <f t="shared" si="40"/>
        <v>-172.91670275607569</v>
      </c>
      <c r="Q74" s="11">
        <v>1</v>
      </c>
      <c r="R74" s="11">
        <f t="shared" si="25"/>
        <v>-1.4835256438746778</v>
      </c>
      <c r="S74" s="11">
        <f t="shared" si="26"/>
        <v>-1.6159494919720483</v>
      </c>
      <c r="T74" s="11">
        <f t="shared" si="41"/>
        <v>-0.28690800544933814</v>
      </c>
      <c r="U74" s="11">
        <f t="shared" si="42"/>
        <v>-31.35195545239905</v>
      </c>
      <c r="V74" s="11">
        <f t="shared" si="43"/>
        <v>-259.62733418169495</v>
      </c>
      <c r="W74" s="11">
        <f t="shared" si="44"/>
        <v>4755.8328555944854</v>
      </c>
      <c r="X74" s="11">
        <f t="shared" si="45"/>
        <v>-4716.520017021644</v>
      </c>
      <c r="Y74" s="11">
        <f t="shared" si="27"/>
        <v>39.312838572841429</v>
      </c>
      <c r="AC74" s="3">
        <f t="shared" si="28"/>
        <v>0</v>
      </c>
      <c r="AD74" s="3">
        <f t="shared" si="29"/>
        <v>0</v>
      </c>
      <c r="AE74" s="3">
        <f t="shared" si="30"/>
        <v>65.704217351235201</v>
      </c>
      <c r="AF74" s="3">
        <f t="shared" si="31"/>
        <v>-325.46873036376599</v>
      </c>
      <c r="AG74" s="3">
        <f t="shared" si="32"/>
        <v>296.01532127498399</v>
      </c>
    </row>
    <row r="75" spans="1:33">
      <c r="A75" s="5">
        <v>43929</v>
      </c>
      <c r="B75" s="28">
        <v>2735</v>
      </c>
      <c r="C75" s="29">
        <v>231</v>
      </c>
      <c r="D75" s="29">
        <v>29.747837050000001</v>
      </c>
      <c r="E75">
        <f t="shared" si="33"/>
        <v>6.0273972602739728E-2</v>
      </c>
      <c r="F75">
        <f t="shared" si="34"/>
        <v>2.7397260273972603E-3</v>
      </c>
      <c r="G75">
        <f t="shared" si="35"/>
        <v>-1.0131735782416609</v>
      </c>
      <c r="H75">
        <f t="shared" si="22"/>
        <v>-1.0862067735491012</v>
      </c>
      <c r="I75" s="1">
        <f t="shared" si="23"/>
        <v>0.84451137076334082</v>
      </c>
      <c r="J75" s="1">
        <f t="shared" si="24"/>
        <v>0.86130623940522022</v>
      </c>
      <c r="K75">
        <f t="shared" si="36"/>
        <v>-0.84333635148405894</v>
      </c>
      <c r="L75">
        <f t="shared" si="37"/>
        <v>1.1937726223394073E-3</v>
      </c>
      <c r="M75">
        <f t="shared" si="38"/>
        <v>-431.37301384297422</v>
      </c>
      <c r="N75">
        <f t="shared" si="39"/>
        <v>160.11111660058305</v>
      </c>
      <c r="O75">
        <f t="shared" si="40"/>
        <v>-153.08549473596159</v>
      </c>
      <c r="Q75" s="11">
        <v>1</v>
      </c>
      <c r="R75" s="11">
        <f t="shared" si="25"/>
        <v>-1.042109070339007</v>
      </c>
      <c r="S75" s="11">
        <f t="shared" si="26"/>
        <v>-1.2371566569500314</v>
      </c>
      <c r="T75" s="11">
        <f t="shared" si="41"/>
        <v>-0.27020504526145472</v>
      </c>
      <c r="U75" s="11">
        <f t="shared" si="42"/>
        <v>-101.96722848673994</v>
      </c>
      <c r="V75" s="11">
        <f t="shared" si="43"/>
        <v>-1035.9984037852162</v>
      </c>
      <c r="W75" s="11">
        <f t="shared" si="44"/>
        <v>3617.6843179281868</v>
      </c>
      <c r="X75" s="11">
        <f t="shared" si="45"/>
        <v>-3583.6006520066467</v>
      </c>
      <c r="Y75" s="11">
        <f t="shared" si="27"/>
        <v>34.08366592154016</v>
      </c>
      <c r="AC75" s="3">
        <f t="shared" si="28"/>
        <v>0</v>
      </c>
      <c r="AD75" s="3">
        <f t="shared" si="29"/>
        <v>0</v>
      </c>
      <c r="AE75" s="3">
        <f t="shared" si="30"/>
        <v>83.715582195162312</v>
      </c>
      <c r="AF75" s="3">
        <f t="shared" si="31"/>
        <v>-462.5002104701249</v>
      </c>
      <c r="AG75" s="3">
        <f t="shared" si="32"/>
        <v>214.39475521693043</v>
      </c>
    </row>
    <row r="76" spans="1:33">
      <c r="A76" s="5">
        <v>43930</v>
      </c>
      <c r="B76" s="28">
        <v>2779.75</v>
      </c>
      <c r="C76" s="29">
        <v>195.25</v>
      </c>
      <c r="D76" s="29">
        <v>30.739784490000002</v>
      </c>
      <c r="E76">
        <f t="shared" si="33"/>
        <v>5.7534246575342465E-2</v>
      </c>
      <c r="F76">
        <f t="shared" si="34"/>
        <v>2.7397260273972603E-3</v>
      </c>
      <c r="G76">
        <f t="shared" si="35"/>
        <v>-0.78213485670793748</v>
      </c>
      <c r="H76">
        <f t="shared" si="22"/>
        <v>-0.85586821816575887</v>
      </c>
      <c r="I76" s="1">
        <f t="shared" si="23"/>
        <v>0.782932338176765</v>
      </c>
      <c r="J76" s="1">
        <f t="shared" si="24"/>
        <v>0.8039646618740437</v>
      </c>
      <c r="K76">
        <f t="shared" si="36"/>
        <v>-0.78189248008415879</v>
      </c>
      <c r="L76">
        <f t="shared" si="37"/>
        <v>1.4316160049718336E-3</v>
      </c>
      <c r="M76">
        <f t="shared" si="38"/>
        <v>-556.97126522762528</v>
      </c>
      <c r="N76">
        <f t="shared" si="39"/>
        <v>195.6434314859149</v>
      </c>
      <c r="O76">
        <f t="shared" si="40"/>
        <v>-136.40113825610294</v>
      </c>
      <c r="Q76" s="11">
        <v>1</v>
      </c>
      <c r="R76" s="11">
        <f t="shared" si="25"/>
        <v>-0.8972009317862607</v>
      </c>
      <c r="S76" s="11">
        <f t="shared" si="26"/>
        <v>-1.1157829824922696</v>
      </c>
      <c r="T76" s="11">
        <f t="shared" si="41"/>
        <v>-0.21414842531353184</v>
      </c>
      <c r="U76" s="11">
        <f t="shared" si="42"/>
        <v>-28.293314052423717</v>
      </c>
      <c r="V76" s="11">
        <f t="shared" si="43"/>
        <v>-337.38847157396339</v>
      </c>
      <c r="W76" s="11">
        <f t="shared" si="44"/>
        <v>3251.8547912940053</v>
      </c>
      <c r="X76" s="11">
        <f t="shared" si="45"/>
        <v>-3219.276227514154</v>
      </c>
      <c r="Y76" s="11">
        <f t="shared" si="27"/>
        <v>32.578563779851265</v>
      </c>
      <c r="AC76" s="3">
        <f t="shared" si="28"/>
        <v>0</v>
      </c>
      <c r="AD76" s="3">
        <f t="shared" si="29"/>
        <v>0</v>
      </c>
      <c r="AE76" s="3">
        <f t="shared" si="30"/>
        <v>84.0351041561307</v>
      </c>
      <c r="AF76" s="3">
        <f t="shared" si="31"/>
        <v>-506.21134664981787</v>
      </c>
      <c r="AG76" s="3">
        <f t="shared" si="32"/>
        <v>183.65667743503832</v>
      </c>
    </row>
  </sheetData>
  <mergeCells count="8">
    <mergeCell ref="Q11:R11"/>
    <mergeCell ref="Q51:S51"/>
    <mergeCell ref="AC50:AG50"/>
    <mergeCell ref="AC10:AG10"/>
    <mergeCell ref="C51:D51"/>
    <mergeCell ref="G51:O51"/>
    <mergeCell ref="C11:D11"/>
    <mergeCell ref="G11:O11"/>
  </mergeCells>
  <pageMargins left="0.7" right="0.7" top="0.75" bottom="0.75" header="0.3" footer="0.3"/>
  <pageSetup orientation="landscape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65394-5FA4-494B-8D85-9C6B9C689725}">
  <sheetPr codeName="Sheet2"/>
  <dimension ref="A1:AG80"/>
  <sheetViews>
    <sheetView topLeftCell="A14" zoomScale="109" zoomScaleNormal="75" workbookViewId="0">
      <selection activeCell="D83" sqref="D83"/>
    </sheetView>
  </sheetViews>
  <sheetFormatPr baseColWidth="10" defaultRowHeight="16"/>
  <cols>
    <col min="1" max="2" width="11" bestFit="1" customWidth="1"/>
    <col min="3" max="3" width="16.33203125" customWidth="1"/>
    <col min="4" max="11" width="11" bestFit="1" customWidth="1"/>
    <col min="12" max="12" width="7" customWidth="1"/>
    <col min="13" max="15" width="11" bestFit="1" customWidth="1"/>
    <col min="17" max="17" width="15.33203125" customWidth="1"/>
    <col min="18" max="18" width="15.83203125" customWidth="1"/>
    <col min="19" max="19" width="13.1640625" bestFit="1" customWidth="1"/>
    <col min="20" max="20" width="17.33203125" customWidth="1"/>
    <col min="21" max="21" width="17.83203125" customWidth="1"/>
    <col min="22" max="22" width="13.5" bestFit="1" customWidth="1"/>
    <col min="23" max="23" width="13.1640625" customWidth="1"/>
    <col min="24" max="24" width="13.6640625" bestFit="1" customWidth="1"/>
    <col min="25" max="25" width="13" bestFit="1" customWidth="1"/>
    <col min="26" max="26" width="13.6640625" bestFit="1" customWidth="1"/>
    <col min="27" max="27" width="12.5" bestFit="1" customWidth="1"/>
    <col min="29" max="29" width="11.1640625" bestFit="1" customWidth="1"/>
    <col min="30" max="30" width="13" bestFit="1" customWidth="1"/>
    <col min="31" max="31" width="21.5" customWidth="1"/>
    <col min="32" max="32" width="13" bestFit="1" customWidth="1"/>
  </cols>
  <sheetData>
    <row r="1" spans="1:33">
      <c r="A1" s="2"/>
      <c r="D1" s="5">
        <v>43951</v>
      </c>
    </row>
    <row r="2" spans="1:33">
      <c r="A2" t="s">
        <v>12</v>
      </c>
      <c r="B2">
        <v>2860</v>
      </c>
    </row>
    <row r="3" spans="1:33">
      <c r="A3" t="s">
        <v>20</v>
      </c>
      <c r="B3" s="6">
        <v>2.3099999999999999E-2</v>
      </c>
      <c r="D3" s="5"/>
    </row>
    <row r="4" spans="1:33">
      <c r="A4" t="s">
        <v>21</v>
      </c>
      <c r="B4" s="6">
        <v>6.7000000000000002E-3</v>
      </c>
    </row>
    <row r="6" spans="1:33">
      <c r="A6" t="s">
        <v>34</v>
      </c>
    </row>
    <row r="7" spans="1:33" ht="18">
      <c r="A7" s="2" t="s">
        <v>55</v>
      </c>
      <c r="B7" s="2" t="s">
        <v>57</v>
      </c>
      <c r="E7" s="16" t="s">
        <v>60</v>
      </c>
    </row>
    <row r="9" spans="1:33" ht="18">
      <c r="A9" t="s">
        <v>55</v>
      </c>
      <c r="B9" t="s">
        <v>58</v>
      </c>
      <c r="D9" s="16" t="s">
        <v>67</v>
      </c>
    </row>
    <row r="10" spans="1:33" ht="21">
      <c r="Q10" s="7" t="s">
        <v>29</v>
      </c>
      <c r="S10" t="s">
        <v>31</v>
      </c>
      <c r="AC10" s="46" t="s">
        <v>54</v>
      </c>
      <c r="AD10" s="46"/>
      <c r="AE10" s="46"/>
      <c r="AF10" s="46"/>
      <c r="AG10" s="46"/>
    </row>
    <row r="11" spans="1:33">
      <c r="C11" s="45" t="s">
        <v>16</v>
      </c>
      <c r="D11" s="45"/>
      <c r="G11" s="45" t="s">
        <v>22</v>
      </c>
      <c r="H11" s="45"/>
      <c r="I11" s="45"/>
      <c r="J11" s="45"/>
      <c r="K11" s="45"/>
      <c r="L11" s="45"/>
      <c r="M11" s="45"/>
      <c r="N11" s="45"/>
      <c r="O11" s="45"/>
      <c r="Q11" s="48" t="s">
        <v>23</v>
      </c>
      <c r="R11" s="48"/>
      <c r="S11" s="13"/>
      <c r="T11" s="13"/>
      <c r="U11" s="13"/>
      <c r="V11" s="13"/>
      <c r="W11" s="13"/>
      <c r="AC11" s="3"/>
      <c r="AD11" s="3"/>
      <c r="AE11" s="3"/>
      <c r="AF11" s="3"/>
      <c r="AG11" s="3"/>
    </row>
    <row r="12" spans="1:33">
      <c r="A12" s="3" t="s">
        <v>10</v>
      </c>
      <c r="B12" s="2" t="s">
        <v>14</v>
      </c>
      <c r="C12" s="2" t="s">
        <v>56</v>
      </c>
      <c r="D12" s="2" t="s">
        <v>11</v>
      </c>
      <c r="E12" t="s">
        <v>15</v>
      </c>
      <c r="F12" s="2" t="s">
        <v>17</v>
      </c>
      <c r="G12" s="2" t="s">
        <v>0</v>
      </c>
      <c r="H12" s="2" t="s">
        <v>2</v>
      </c>
      <c r="I12" s="2" t="s">
        <v>1</v>
      </c>
      <c r="J12" s="2" t="s">
        <v>3</v>
      </c>
      <c r="K12" s="2" t="s">
        <v>4</v>
      </c>
      <c r="L12" s="2" t="s">
        <v>18</v>
      </c>
      <c r="M12" s="2" t="s">
        <v>19</v>
      </c>
      <c r="N12" s="2" t="s">
        <v>5</v>
      </c>
      <c r="O12" s="2" t="s">
        <v>6</v>
      </c>
      <c r="Q12" s="13" t="s">
        <v>22</v>
      </c>
      <c r="R12" s="13" t="s">
        <v>30</v>
      </c>
      <c r="S12" s="13" t="s">
        <v>24</v>
      </c>
      <c r="T12" s="13" t="s">
        <v>26</v>
      </c>
      <c r="U12" s="13" t="s">
        <v>25</v>
      </c>
      <c r="V12" s="13" t="s">
        <v>28</v>
      </c>
      <c r="W12" s="9" t="s">
        <v>27</v>
      </c>
      <c r="AC12" s="3" t="s">
        <v>4</v>
      </c>
      <c r="AD12" s="3" t="s">
        <v>7</v>
      </c>
      <c r="AE12" s="3" t="s">
        <v>5</v>
      </c>
      <c r="AF12" s="3" t="s">
        <v>48</v>
      </c>
      <c r="AG12" s="3" t="s">
        <v>6</v>
      </c>
    </row>
    <row r="13" spans="1:33">
      <c r="A13" s="5">
        <v>43899</v>
      </c>
      <c r="B13" s="28">
        <v>2735.25</v>
      </c>
      <c r="C13" s="28">
        <v>123</v>
      </c>
      <c r="D13" s="28">
        <v>49.605314341043098</v>
      </c>
      <c r="E13">
        <f t="shared" ref="E13:E36" si="0">($D$1-A13)/365</f>
        <v>0.14246575342465753</v>
      </c>
      <c r="G13">
        <f t="shared" ref="G13:G36" si="1">(LN($B13/$B$2)+($B$4-$B$3+1/2*($D13/100)^2)*$E13)/($D13/100*SQRT($E13))</f>
        <v>-0.15706082724431986</v>
      </c>
      <c r="H13">
        <f t="shared" ref="H13:H36" si="2">G13-$D13/100*SQRT($E13)</f>
        <v>-0.34429427976804494</v>
      </c>
      <c r="I13" s="1">
        <f t="shared" ref="I13:I36" si="3">_xlfn.NORM.S.DIST($G13,TRUE)</f>
        <v>0.43759845484353305</v>
      </c>
      <c r="J13" s="1">
        <f t="shared" ref="J13:J36" si="4">_xlfn.NORM.S.DIST($H13,TRUE)</f>
        <v>0.36531249286031087</v>
      </c>
      <c r="K13">
        <f t="shared" ref="K13:K36" si="5">EXP(-$B$3*$E13)*I13</f>
        <v>0.4361607034002179</v>
      </c>
      <c r="L13">
        <f t="shared" ref="L13:L36" si="6">(1/SQRT(2*PI()))*EXP(-(G13^2)/2)/(B13*D13/100*SQRT(E13))*EXP(-$B$3*E13)</f>
        <v>7.6690882900628133E-4</v>
      </c>
      <c r="M13">
        <f t="shared" ref="M13:M36" si="7">-(1/SQRT(2*PI()))*EXP(-(G13^2)/2)*B13*D13/100*EXP(-$B$3*E13)/(2*SQRT(E13))+($B$3*EXP(-$B$3*E13)*B13*I13)-($B$4*$B$2*EXP(-$B$4*E13)*J13)</f>
        <v>-685.36911718110741</v>
      </c>
      <c r="N13">
        <f t="shared" ref="N13:N36" si="8">(1/SQRT(2*PI()))*EXP(-(G13^2)/2)*B13*EXP(-$B$3*E13)*SQRT(E13)</f>
        <v>405.4865714673237</v>
      </c>
      <c r="O13">
        <f>E13*EXP(-$B$4*E13)*$B$2*J13</f>
        <v>148.70531581353907</v>
      </c>
      <c r="Q13" s="13">
        <v>1</v>
      </c>
      <c r="R13" s="13">
        <f t="shared" ref="R13:R36" si="9">-K13</f>
        <v>-0.4361607034002179</v>
      </c>
      <c r="S13" s="13"/>
      <c r="T13" s="13"/>
      <c r="U13" s="13">
        <f>-C13-R13*B13</f>
        <v>1070.0085639754459</v>
      </c>
      <c r="V13" s="13">
        <f t="shared" ref="V13:V36" si="10">R13*B13+C13</f>
        <v>-1070.0085639754459</v>
      </c>
      <c r="W13" s="13">
        <f t="shared" ref="W13:W36" si="11">U13+V13</f>
        <v>0</v>
      </c>
      <c r="AC13" s="3">
        <f t="shared" ref="AC13:AC36" si="12">Q13*K13+R13</f>
        <v>0</v>
      </c>
      <c r="AD13" s="3">
        <f t="shared" ref="AD13:AD36" si="13">Q13*L13</f>
        <v>7.6690882900628133E-4</v>
      </c>
      <c r="AE13" s="3">
        <f t="shared" ref="AE13:AE36" si="14">Q13*N13</f>
        <v>405.4865714673237</v>
      </c>
      <c r="AF13" s="3">
        <f t="shared" ref="AF13:AF36" si="15">Q13*M13</f>
        <v>-685.36911718110741</v>
      </c>
      <c r="AG13" s="3">
        <f t="shared" ref="AG13:AG36" si="16">Q13*O13</f>
        <v>148.70531581353907</v>
      </c>
    </row>
    <row r="14" spans="1:33">
      <c r="A14" s="5">
        <v>43900</v>
      </c>
      <c r="B14" s="28">
        <v>2854.25</v>
      </c>
      <c r="C14" s="28">
        <v>170.5</v>
      </c>
      <c r="D14" s="28">
        <v>48.115787723404097</v>
      </c>
      <c r="E14">
        <f t="shared" si="0"/>
        <v>0.13972602739726028</v>
      </c>
      <c r="F14">
        <f t="shared" ref="F14:F36" si="17">(A14-A13)/365</f>
        <v>2.7397260273972603E-3</v>
      </c>
      <c r="G14">
        <f t="shared" si="1"/>
        <v>6.5997980409736229E-2</v>
      </c>
      <c r="H14">
        <f t="shared" si="2"/>
        <v>-0.1138585685476397</v>
      </c>
      <c r="I14" s="1">
        <f t="shared" si="3"/>
        <v>0.52631028332482888</v>
      </c>
      <c r="J14" s="1">
        <f t="shared" si="4"/>
        <v>0.45467495471220398</v>
      </c>
      <c r="K14">
        <f t="shared" si="5"/>
        <v>0.5246142653304261</v>
      </c>
      <c r="L14">
        <f t="shared" si="6"/>
        <v>7.7293719145989103E-4</v>
      </c>
      <c r="M14">
        <f t="shared" si="7"/>
        <v>-703.02404013961518</v>
      </c>
      <c r="N14">
        <f t="shared" si="8"/>
        <v>423.34373399748483</v>
      </c>
      <c r="O14">
        <f t="shared" ref="O14:O36" si="18">E14*EXP(-$B$3*E14)*$B$2*J14</f>
        <v>181.11007781801899</v>
      </c>
      <c r="Q14" s="13">
        <v>1</v>
      </c>
      <c r="R14" s="13">
        <f t="shared" si="9"/>
        <v>-0.5246142653304261</v>
      </c>
      <c r="S14" s="13">
        <f t="shared" ref="S14:S36" si="19">(EXP($B$3*F14)-1)*B13*R13</f>
        <v>-7.5505123021478854E-2</v>
      </c>
      <c r="T14" s="13">
        <f t="shared" ref="T14:T36" si="20">(K14-K13)*B14</f>
        <v>252.46857913929676</v>
      </c>
      <c r="U14" s="13">
        <f t="shared" ref="U14:U36" si="21">U13*EXP(F14*$B$4)+S14+T14</f>
        <v>1322.4212794250836</v>
      </c>
      <c r="V14" s="13">
        <f t="shared" si="10"/>
        <v>-1326.8802668193687</v>
      </c>
      <c r="W14" s="13">
        <f t="shared" si="11"/>
        <v>-4.4589873942850318</v>
      </c>
      <c r="AC14" s="3">
        <f t="shared" si="12"/>
        <v>0</v>
      </c>
      <c r="AD14" s="3">
        <f t="shared" si="13"/>
        <v>7.7293719145989103E-4</v>
      </c>
      <c r="AE14" s="3">
        <f t="shared" si="14"/>
        <v>423.34373399748483</v>
      </c>
      <c r="AF14" s="3">
        <f t="shared" si="15"/>
        <v>-703.02404013961518</v>
      </c>
      <c r="AG14" s="3">
        <f t="shared" si="16"/>
        <v>181.11007781801899</v>
      </c>
    </row>
    <row r="15" spans="1:33">
      <c r="A15" s="5">
        <v>43901</v>
      </c>
      <c r="B15" s="28">
        <v>2729</v>
      </c>
      <c r="C15" s="28">
        <v>117</v>
      </c>
      <c r="D15" s="28">
        <v>50.1224266486864</v>
      </c>
      <c r="E15">
        <f t="shared" si="0"/>
        <v>0.13698630136986301</v>
      </c>
      <c r="F15">
        <f t="shared" si="17"/>
        <v>2.7397260273972603E-3</v>
      </c>
      <c r="G15">
        <f t="shared" si="1"/>
        <v>-0.17209567786322921</v>
      </c>
      <c r="H15">
        <f t="shared" si="2"/>
        <v>-0.35760710176848487</v>
      </c>
      <c r="I15" s="1">
        <f t="shared" si="3"/>
        <v>0.43168115531823503</v>
      </c>
      <c r="J15" s="1">
        <f t="shared" si="4"/>
        <v>0.36031868144424101</v>
      </c>
      <c r="K15">
        <f t="shared" si="5"/>
        <v>0.43031730957005987</v>
      </c>
      <c r="L15">
        <f t="shared" si="6"/>
        <v>7.7398111475909153E-4</v>
      </c>
      <c r="M15">
        <f t="shared" si="7"/>
        <v>-703.82603344130541</v>
      </c>
      <c r="N15">
        <f t="shared" si="8"/>
        <v>395.77345677156399</v>
      </c>
      <c r="O15">
        <f t="shared" si="18"/>
        <v>140.7199519847907</v>
      </c>
      <c r="Q15" s="13">
        <v>1</v>
      </c>
      <c r="R15" s="13">
        <f t="shared" si="9"/>
        <v>-0.43031730957005987</v>
      </c>
      <c r="S15" s="13">
        <f t="shared" si="19"/>
        <v>-9.476870885099381E-2</v>
      </c>
      <c r="T15" s="13">
        <f t="shared" si="20"/>
        <v>-257.33639227003943</v>
      </c>
      <c r="U15" s="13">
        <f t="shared" si="21"/>
        <v>1065.0143932513784</v>
      </c>
      <c r="V15" s="13">
        <f t="shared" si="10"/>
        <v>-1057.3359378166933</v>
      </c>
      <c r="W15" s="13">
        <f t="shared" si="11"/>
        <v>7.67845543468502</v>
      </c>
      <c r="AC15" s="3">
        <f t="shared" si="12"/>
        <v>0</v>
      </c>
      <c r="AD15" s="3">
        <f t="shared" si="13"/>
        <v>7.7398111475909153E-4</v>
      </c>
      <c r="AE15" s="3">
        <f t="shared" si="14"/>
        <v>395.77345677156399</v>
      </c>
      <c r="AF15" s="3">
        <f t="shared" si="15"/>
        <v>-703.82603344130541</v>
      </c>
      <c r="AG15" s="3">
        <f t="shared" si="16"/>
        <v>140.7199519847907</v>
      </c>
    </row>
    <row r="16" spans="1:33">
      <c r="A16" s="5">
        <v>43902</v>
      </c>
      <c r="B16" s="28">
        <v>2456</v>
      </c>
      <c r="C16" s="28">
        <v>53</v>
      </c>
      <c r="D16" s="28">
        <v>60.015213702971998</v>
      </c>
      <c r="E16">
        <f t="shared" si="0"/>
        <v>0.13424657534246576</v>
      </c>
      <c r="F16">
        <f t="shared" si="17"/>
        <v>2.7397260273972603E-3</v>
      </c>
      <c r="G16">
        <f t="shared" si="1"/>
        <v>-0.59261618503094571</v>
      </c>
      <c r="H16">
        <f t="shared" si="2"/>
        <v>-0.81250997503144251</v>
      </c>
      <c r="I16" s="1">
        <f t="shared" si="3"/>
        <v>0.27671902248061575</v>
      </c>
      <c r="J16" s="1">
        <f t="shared" si="4"/>
        <v>0.20824953259367535</v>
      </c>
      <c r="K16">
        <f t="shared" si="5"/>
        <v>0.27586221945801026</v>
      </c>
      <c r="L16">
        <f t="shared" si="6"/>
        <v>6.1781884915821912E-4</v>
      </c>
      <c r="M16">
        <f t="shared" si="7"/>
        <v>-659.47232892418708</v>
      </c>
      <c r="N16">
        <f t="shared" si="8"/>
        <v>300.24960970395995</v>
      </c>
      <c r="O16">
        <f t="shared" si="18"/>
        <v>79.708841154628303</v>
      </c>
      <c r="Q16" s="13">
        <v>1</v>
      </c>
      <c r="R16" s="13">
        <f t="shared" si="9"/>
        <v>-0.27586221945801026</v>
      </c>
      <c r="S16" s="13">
        <f t="shared" si="19"/>
        <v>-7.4323338600290306E-2</v>
      </c>
      <c r="T16" s="13">
        <f t="shared" si="20"/>
        <v>-379.34170131519386</v>
      </c>
      <c r="U16" s="13">
        <f t="shared" si="21"/>
        <v>685.61791835628628</v>
      </c>
      <c r="V16" s="13">
        <f t="shared" si="10"/>
        <v>-624.51761098887323</v>
      </c>
      <c r="W16" s="13">
        <f t="shared" si="11"/>
        <v>61.100307367413052</v>
      </c>
      <c r="AC16" s="3">
        <f t="shared" si="12"/>
        <v>0</v>
      </c>
      <c r="AD16" s="3">
        <f t="shared" si="13"/>
        <v>6.1781884915821912E-4</v>
      </c>
      <c r="AE16" s="3">
        <f t="shared" si="14"/>
        <v>300.24960970395995</v>
      </c>
      <c r="AF16" s="3">
        <f t="shared" si="15"/>
        <v>-659.47232892418708</v>
      </c>
      <c r="AG16" s="3">
        <f t="shared" si="16"/>
        <v>79.708841154628303</v>
      </c>
    </row>
    <row r="17" spans="1:33">
      <c r="A17" s="5">
        <v>43903</v>
      </c>
      <c r="B17" s="28">
        <v>2684</v>
      </c>
      <c r="C17" s="28">
        <v>95.5</v>
      </c>
      <c r="D17" s="28">
        <v>52.934236633719401</v>
      </c>
      <c r="E17">
        <f t="shared" si="0"/>
        <v>0.13150684931506848</v>
      </c>
      <c r="F17">
        <f t="shared" si="17"/>
        <v>2.7397260273972603E-3</v>
      </c>
      <c r="G17">
        <f t="shared" si="1"/>
        <v>-0.24612303578087061</v>
      </c>
      <c r="H17">
        <f t="shared" si="2"/>
        <v>-0.43808307984237155</v>
      </c>
      <c r="I17" s="1">
        <f t="shared" si="3"/>
        <v>0.40279349574107809</v>
      </c>
      <c r="J17" s="1">
        <f t="shared" si="4"/>
        <v>0.33066302972620942</v>
      </c>
      <c r="K17">
        <f t="shared" si="5"/>
        <v>0.40157174301387871</v>
      </c>
      <c r="L17">
        <f t="shared" si="6"/>
        <v>7.4893371120399871E-4</v>
      </c>
      <c r="M17">
        <f t="shared" si="7"/>
        <v>-737.31099445742814</v>
      </c>
      <c r="N17">
        <f t="shared" si="8"/>
        <v>375.57219296704795</v>
      </c>
      <c r="O17">
        <f t="shared" si="18"/>
        <v>123.98831083258077</v>
      </c>
      <c r="Q17" s="13">
        <v>1</v>
      </c>
      <c r="R17" s="13">
        <f t="shared" si="9"/>
        <v>-0.40157174301387871</v>
      </c>
      <c r="S17" s="13">
        <f t="shared" si="19"/>
        <v>-4.2879868688005661E-2</v>
      </c>
      <c r="T17" s="13">
        <f t="shared" si="20"/>
        <v>337.4043612239509</v>
      </c>
      <c r="U17" s="13">
        <f t="shared" si="21"/>
        <v>1022.9919851422726</v>
      </c>
      <c r="V17" s="13">
        <f t="shared" si="10"/>
        <v>-982.31855824925037</v>
      </c>
      <c r="W17" s="13">
        <f t="shared" si="11"/>
        <v>40.673426893022224</v>
      </c>
      <c r="AC17" s="3">
        <f t="shared" si="12"/>
        <v>0</v>
      </c>
      <c r="AD17" s="3">
        <f t="shared" si="13"/>
        <v>7.4893371120399871E-4</v>
      </c>
      <c r="AE17" s="3">
        <f t="shared" si="14"/>
        <v>375.57219296704795</v>
      </c>
      <c r="AF17" s="3">
        <f t="shared" si="15"/>
        <v>-737.31099445742814</v>
      </c>
      <c r="AG17" s="3">
        <f t="shared" si="16"/>
        <v>123.98831083258077</v>
      </c>
    </row>
    <row r="18" spans="1:33">
      <c r="A18" s="5">
        <v>43906</v>
      </c>
      <c r="B18" s="28">
        <v>2405.25</v>
      </c>
      <c r="C18" s="28">
        <v>48.75</v>
      </c>
      <c r="D18" s="28">
        <v>66.708981691977698</v>
      </c>
      <c r="E18">
        <f t="shared" si="0"/>
        <v>0.12328767123287671</v>
      </c>
      <c r="F18">
        <f t="shared" si="17"/>
        <v>8.21917808219178E-3</v>
      </c>
      <c r="G18">
        <f t="shared" si="1"/>
        <v>-0.63082053234074542</v>
      </c>
      <c r="H18">
        <f t="shared" si="2"/>
        <v>-0.86505140470618769</v>
      </c>
      <c r="I18" s="1">
        <f t="shared" si="3"/>
        <v>0.26407893832518703</v>
      </c>
      <c r="J18" s="1">
        <f t="shared" si="4"/>
        <v>0.19350528760037022</v>
      </c>
      <c r="K18">
        <f t="shared" si="5"/>
        <v>0.26332792590763132</v>
      </c>
      <c r="L18">
        <f t="shared" si="6"/>
        <v>5.7870664797547852E-4</v>
      </c>
      <c r="M18">
        <f t="shared" si="7"/>
        <v>-734.00761952451205</v>
      </c>
      <c r="N18">
        <f t="shared" si="8"/>
        <v>275.34860376022345</v>
      </c>
      <c r="O18">
        <f t="shared" si="18"/>
        <v>68.036454288696518</v>
      </c>
      <c r="Q18" s="13">
        <v>1</v>
      </c>
      <c r="R18" s="13">
        <f t="shared" si="9"/>
        <v>-0.26332792590763132</v>
      </c>
      <c r="S18" s="13">
        <f t="shared" si="19"/>
        <v>-0.20465730750140401</v>
      </c>
      <c r="T18" s="13">
        <f t="shared" si="20"/>
        <v>-332.51094109480152</v>
      </c>
      <c r="U18" s="13">
        <f t="shared" si="21"/>
        <v>690.33272291825665</v>
      </c>
      <c r="V18" s="13">
        <f t="shared" si="10"/>
        <v>-584.61949378933025</v>
      </c>
      <c r="W18" s="13">
        <f t="shared" si="11"/>
        <v>105.7132291289264</v>
      </c>
      <c r="AC18" s="3">
        <f t="shared" si="12"/>
        <v>0</v>
      </c>
      <c r="AD18" s="3">
        <f t="shared" si="13"/>
        <v>5.7870664797547852E-4</v>
      </c>
      <c r="AE18" s="3">
        <f t="shared" si="14"/>
        <v>275.34860376022345</v>
      </c>
      <c r="AF18" s="3">
        <f t="shared" si="15"/>
        <v>-734.00761952451205</v>
      </c>
      <c r="AG18" s="3">
        <f t="shared" si="16"/>
        <v>68.036454288696518</v>
      </c>
    </row>
    <row r="19" spans="1:33">
      <c r="A19" s="5">
        <v>43907</v>
      </c>
      <c r="B19" s="28">
        <v>2485.5</v>
      </c>
      <c r="C19" s="28">
        <v>56.75</v>
      </c>
      <c r="D19" s="28">
        <v>63.020059999364904</v>
      </c>
      <c r="E19">
        <f t="shared" si="0"/>
        <v>0.12054794520547946</v>
      </c>
      <c r="F19">
        <f t="shared" si="17"/>
        <v>2.7397260273972603E-3</v>
      </c>
      <c r="G19">
        <f t="shared" si="1"/>
        <v>-0.54105886695248395</v>
      </c>
      <c r="H19">
        <f t="shared" si="2"/>
        <v>-0.75986461074916978</v>
      </c>
      <c r="I19" s="1">
        <f t="shared" si="3"/>
        <v>0.29423350426227096</v>
      </c>
      <c r="J19" s="1">
        <f t="shared" si="4"/>
        <v>0.22366775863045321</v>
      </c>
      <c r="K19">
        <f t="shared" si="5"/>
        <v>0.29341530444965064</v>
      </c>
      <c r="L19">
        <f t="shared" si="6"/>
        <v>6.319162378776367E-4</v>
      </c>
      <c r="M19">
        <f t="shared" si="7"/>
        <v>-762.63764045893424</v>
      </c>
      <c r="N19">
        <f t="shared" si="8"/>
        <v>296.56894656938215</v>
      </c>
      <c r="O19">
        <f t="shared" si="18"/>
        <v>76.898854315169373</v>
      </c>
      <c r="Q19" s="13">
        <v>1</v>
      </c>
      <c r="R19" s="13">
        <f t="shared" si="9"/>
        <v>-0.29341530444965064</v>
      </c>
      <c r="S19" s="13">
        <f t="shared" si="19"/>
        <v>-4.0085748745387409E-2</v>
      </c>
      <c r="T19" s="13">
        <f t="shared" si="20"/>
        <v>74.782179366189013</v>
      </c>
      <c r="U19" s="13">
        <f t="shared" si="21"/>
        <v>765.0874885129457</v>
      </c>
      <c r="V19" s="13">
        <f t="shared" si="10"/>
        <v>-672.53373920960667</v>
      </c>
      <c r="W19" s="13">
        <f t="shared" si="11"/>
        <v>92.553749303339032</v>
      </c>
      <c r="AC19" s="3">
        <f t="shared" si="12"/>
        <v>0</v>
      </c>
      <c r="AD19" s="3">
        <f t="shared" si="13"/>
        <v>6.319162378776367E-4</v>
      </c>
      <c r="AE19" s="3">
        <f t="shared" si="14"/>
        <v>296.56894656938215</v>
      </c>
      <c r="AF19" s="3">
        <f t="shared" si="15"/>
        <v>-762.63764045893424</v>
      </c>
      <c r="AG19" s="3">
        <f t="shared" si="16"/>
        <v>76.898854315169373</v>
      </c>
    </row>
    <row r="20" spans="1:33">
      <c r="A20" s="5">
        <v>43908</v>
      </c>
      <c r="B20" s="28">
        <v>2401.5</v>
      </c>
      <c r="C20" s="28">
        <v>35.5</v>
      </c>
      <c r="D20" s="28">
        <v>62.850381837869897</v>
      </c>
      <c r="E20">
        <f t="shared" si="0"/>
        <v>0.11780821917808219</v>
      </c>
      <c r="F20">
        <f t="shared" si="17"/>
        <v>2.7397260273972603E-3</v>
      </c>
      <c r="G20">
        <f t="shared" si="1"/>
        <v>-0.71106126646424717</v>
      </c>
      <c r="H20">
        <f t="shared" si="2"/>
        <v>-0.92678390128056209</v>
      </c>
      <c r="I20" s="1">
        <f t="shared" si="3"/>
        <v>0.23852313551033408</v>
      </c>
      <c r="J20" s="1">
        <f t="shared" si="4"/>
        <v>0.17701937256361094</v>
      </c>
      <c r="K20">
        <f t="shared" si="5"/>
        <v>0.23787490827081803</v>
      </c>
      <c r="L20">
        <f t="shared" si="6"/>
        <v>5.9642861780696734E-4</v>
      </c>
      <c r="M20">
        <f t="shared" si="7"/>
        <v>-669.56824691430165</v>
      </c>
      <c r="N20">
        <f t="shared" si="8"/>
        <v>254.6872283312735</v>
      </c>
      <c r="O20">
        <f t="shared" si="18"/>
        <v>59.481312832331696</v>
      </c>
      <c r="Q20" s="13">
        <v>1</v>
      </c>
      <c r="R20" s="13">
        <f t="shared" si="9"/>
        <v>-0.23787490827081803</v>
      </c>
      <c r="S20" s="13">
        <f t="shared" si="19"/>
        <v>-4.6156130064225399E-2</v>
      </c>
      <c r="T20" s="13">
        <f t="shared" si="20"/>
        <v>-133.38026142346649</v>
      </c>
      <c r="U20" s="13">
        <f t="shared" si="21"/>
        <v>631.67511516002037</v>
      </c>
      <c r="V20" s="13">
        <f t="shared" si="10"/>
        <v>-535.75659221236947</v>
      </c>
      <c r="W20" s="13">
        <f t="shared" si="11"/>
        <v>95.918522947650899</v>
      </c>
      <c r="AC20" s="3">
        <f t="shared" si="12"/>
        <v>0</v>
      </c>
      <c r="AD20" s="3">
        <f t="shared" si="13"/>
        <v>5.9642861780696734E-4</v>
      </c>
      <c r="AE20" s="3">
        <f t="shared" si="14"/>
        <v>254.6872283312735</v>
      </c>
      <c r="AF20" s="3">
        <f t="shared" si="15"/>
        <v>-669.56824691430165</v>
      </c>
      <c r="AG20" s="3">
        <f t="shared" si="16"/>
        <v>59.481312832331696</v>
      </c>
    </row>
    <row r="21" spans="1:33">
      <c r="A21" s="5">
        <v>43909</v>
      </c>
      <c r="B21" s="28">
        <v>2389</v>
      </c>
      <c r="C21" s="28">
        <v>22.25</v>
      </c>
      <c r="D21" s="28">
        <v>55.663381077253199</v>
      </c>
      <c r="E21">
        <f t="shared" si="0"/>
        <v>0.11506849315068493</v>
      </c>
      <c r="F21">
        <f t="shared" si="17"/>
        <v>2.7397260273972603E-3</v>
      </c>
      <c r="G21">
        <f t="shared" si="1"/>
        <v>-0.86859164561255842</v>
      </c>
      <c r="H21">
        <f t="shared" si="2"/>
        <v>-1.0574115596017721</v>
      </c>
      <c r="I21" s="1">
        <f t="shared" si="3"/>
        <v>0.19253526282268163</v>
      </c>
      <c r="J21" s="1">
        <f t="shared" si="4"/>
        <v>0.14516189907787236</v>
      </c>
      <c r="K21">
        <f t="shared" si="5"/>
        <v>0.19202416783644763</v>
      </c>
      <c r="L21">
        <f t="shared" si="6"/>
        <v>6.0487366982676807E-4</v>
      </c>
      <c r="M21">
        <f t="shared" si="7"/>
        <v>-527.00058628498937</v>
      </c>
      <c r="N21">
        <f t="shared" si="8"/>
        <v>221.11743508623221</v>
      </c>
      <c r="O21">
        <f t="shared" si="18"/>
        <v>47.645370653467651</v>
      </c>
      <c r="Q21" s="13">
        <v>1</v>
      </c>
      <c r="R21" s="13">
        <f t="shared" si="9"/>
        <v>-0.19202416783644763</v>
      </c>
      <c r="S21" s="13">
        <f t="shared" si="19"/>
        <v>-3.6154643457122305E-2</v>
      </c>
      <c r="T21" s="13">
        <f t="shared" si="20"/>
        <v>-109.53741889771089</v>
      </c>
      <c r="U21" s="13">
        <f t="shared" si="21"/>
        <v>522.11313685752498</v>
      </c>
      <c r="V21" s="13">
        <f t="shared" si="10"/>
        <v>-436.49573696127339</v>
      </c>
      <c r="W21" s="13">
        <f t="shared" si="11"/>
        <v>85.617399896251584</v>
      </c>
      <c r="AC21" s="3">
        <f t="shared" si="12"/>
        <v>0</v>
      </c>
      <c r="AD21" s="3">
        <f t="shared" si="13"/>
        <v>6.0487366982676807E-4</v>
      </c>
      <c r="AE21" s="3">
        <f t="shared" si="14"/>
        <v>221.11743508623221</v>
      </c>
      <c r="AF21" s="3">
        <f t="shared" si="15"/>
        <v>-527.00058628498937</v>
      </c>
      <c r="AG21" s="3">
        <f t="shared" si="16"/>
        <v>47.645370653467651</v>
      </c>
    </row>
    <row r="22" spans="1:33">
      <c r="A22" s="5">
        <v>43910</v>
      </c>
      <c r="B22" s="28">
        <v>2288.5</v>
      </c>
      <c r="C22" s="28">
        <v>7</v>
      </c>
      <c r="D22" s="28">
        <v>44.388919560753301</v>
      </c>
      <c r="E22">
        <f t="shared" si="0"/>
        <v>0.11232876712328767</v>
      </c>
      <c r="F22">
        <f t="shared" si="17"/>
        <v>2.7397260273972603E-3</v>
      </c>
      <c r="G22">
        <f t="shared" si="1"/>
        <v>-1.4364349183882439</v>
      </c>
      <c r="H22">
        <f t="shared" si="2"/>
        <v>-1.5852065309501748</v>
      </c>
      <c r="I22" s="1">
        <f t="shared" si="3"/>
        <v>7.543931150956254E-2</v>
      </c>
      <c r="J22" s="1">
        <f t="shared" si="4"/>
        <v>5.6459708571661847E-2</v>
      </c>
      <c r="K22">
        <f t="shared" si="5"/>
        <v>7.5243815742784562E-2</v>
      </c>
      <c r="L22">
        <f t="shared" si="6"/>
        <v>4.1654549333600301E-4</v>
      </c>
      <c r="M22">
        <f t="shared" si="7"/>
        <v>-212.02661516102981</v>
      </c>
      <c r="N22">
        <f t="shared" si="8"/>
        <v>108.77518741297303</v>
      </c>
      <c r="O22">
        <f t="shared" si="18"/>
        <v>18.091257392039306</v>
      </c>
      <c r="Q22" s="13">
        <v>1</v>
      </c>
      <c r="R22" s="13">
        <f t="shared" si="9"/>
        <v>-7.5243815742784562E-2</v>
      </c>
      <c r="S22" s="13">
        <f t="shared" si="19"/>
        <v>-2.9033868113584493E-2</v>
      </c>
      <c r="T22" s="13">
        <f t="shared" si="20"/>
        <v>-267.25183576634794</v>
      </c>
      <c r="U22" s="13">
        <f t="shared" si="21"/>
        <v>254.84185130559371</v>
      </c>
      <c r="V22" s="13">
        <f t="shared" si="10"/>
        <v>-165.19547232736247</v>
      </c>
      <c r="W22" s="13">
        <f t="shared" si="11"/>
        <v>89.64637897823124</v>
      </c>
      <c r="AC22" s="3">
        <f t="shared" si="12"/>
        <v>0</v>
      </c>
      <c r="AD22" s="3">
        <f t="shared" si="13"/>
        <v>4.1654549333600301E-4</v>
      </c>
      <c r="AE22" s="3">
        <f t="shared" si="14"/>
        <v>108.77518741297303</v>
      </c>
      <c r="AF22" s="3">
        <f t="shared" si="15"/>
        <v>-212.02661516102981</v>
      </c>
      <c r="AG22" s="3">
        <f t="shared" si="16"/>
        <v>18.091257392039306</v>
      </c>
    </row>
    <row r="23" spans="1:33">
      <c r="A23" s="5">
        <v>43913</v>
      </c>
      <c r="B23" s="28">
        <v>2220.5</v>
      </c>
      <c r="C23" s="28">
        <v>5</v>
      </c>
      <c r="D23" s="28">
        <v>43.191410164823203</v>
      </c>
      <c r="E23">
        <f t="shared" si="0"/>
        <v>0.10410958904109589</v>
      </c>
      <c r="F23">
        <f t="shared" si="17"/>
        <v>8.21917808219178E-3</v>
      </c>
      <c r="G23">
        <f t="shared" si="1"/>
        <v>-1.7586338445610492</v>
      </c>
      <c r="H23">
        <f t="shared" si="2"/>
        <v>-1.8979953245252232</v>
      </c>
      <c r="I23" s="1">
        <f t="shared" si="3"/>
        <v>3.931986028811723E-2</v>
      </c>
      <c r="J23" s="1">
        <f t="shared" si="4"/>
        <v>2.8848348967879481E-2</v>
      </c>
      <c r="K23">
        <f t="shared" si="5"/>
        <v>3.9225412333218183E-2</v>
      </c>
      <c r="L23">
        <f t="shared" si="6"/>
        <v>2.7395587824458257E-4</v>
      </c>
      <c r="M23">
        <f t="shared" si="7"/>
        <v>-124.53355063032429</v>
      </c>
      <c r="N23">
        <f t="shared" si="8"/>
        <v>60.739371578536669</v>
      </c>
      <c r="O23">
        <f t="shared" si="18"/>
        <v>8.569061893669927</v>
      </c>
      <c r="Q23" s="13">
        <v>1</v>
      </c>
      <c r="R23" s="13">
        <f t="shared" si="9"/>
        <v>-3.9225412333218183E-2</v>
      </c>
      <c r="S23" s="13">
        <f t="shared" si="19"/>
        <v>-3.2696655165869642E-2</v>
      </c>
      <c r="T23" s="13">
        <f t="shared" si="20"/>
        <v>-79.978864770942138</v>
      </c>
      <c r="U23" s="13">
        <f t="shared" si="21"/>
        <v>174.84432402264486</v>
      </c>
      <c r="V23" s="13">
        <f t="shared" si="10"/>
        <v>-82.100028085910978</v>
      </c>
      <c r="W23" s="13">
        <f t="shared" si="11"/>
        <v>92.744295936733877</v>
      </c>
      <c r="AC23" s="3">
        <f t="shared" si="12"/>
        <v>0</v>
      </c>
      <c r="AD23" s="3">
        <f t="shared" si="13"/>
        <v>2.7395587824458257E-4</v>
      </c>
      <c r="AE23" s="3">
        <f t="shared" si="14"/>
        <v>60.739371578536669</v>
      </c>
      <c r="AF23" s="3">
        <f t="shared" si="15"/>
        <v>-124.53355063032429</v>
      </c>
      <c r="AG23" s="3">
        <f t="shared" si="16"/>
        <v>8.569061893669927</v>
      </c>
    </row>
    <row r="24" spans="1:33">
      <c r="A24" s="5">
        <v>43914</v>
      </c>
      <c r="B24" s="28">
        <v>2438</v>
      </c>
      <c r="C24" s="28">
        <v>25</v>
      </c>
      <c r="D24" s="28">
        <v>48.525351865927</v>
      </c>
      <c r="E24">
        <f t="shared" si="0"/>
        <v>0.10136986301369863</v>
      </c>
      <c r="F24">
        <f t="shared" si="17"/>
        <v>2.7397260273972603E-3</v>
      </c>
      <c r="G24">
        <f t="shared" si="1"/>
        <v>-0.9668160061453136</v>
      </c>
      <c r="H24">
        <f t="shared" si="2"/>
        <v>-1.1213140990779467</v>
      </c>
      <c r="I24" s="1">
        <f t="shared" si="3"/>
        <v>0.1668180107088649</v>
      </c>
      <c r="J24" s="1">
        <f t="shared" si="4"/>
        <v>0.1310770930991588</v>
      </c>
      <c r="K24">
        <f t="shared" si="5"/>
        <v>0.16642783934189226</v>
      </c>
      <c r="L24">
        <f t="shared" si="6"/>
        <v>6.6215787025508503E-4</v>
      </c>
      <c r="M24">
        <f t="shared" si="7"/>
        <v>-456.51613424088634</v>
      </c>
      <c r="N24">
        <f t="shared" si="8"/>
        <v>193.60051165061452</v>
      </c>
      <c r="O24">
        <f t="shared" si="18"/>
        <v>37.912701470898767</v>
      </c>
      <c r="Q24" s="13">
        <v>1</v>
      </c>
      <c r="R24" s="13">
        <f t="shared" si="9"/>
        <v>-0.16642783934189226</v>
      </c>
      <c r="S24" s="13">
        <f t="shared" si="19"/>
        <v>-5.5125323777108493E-3</v>
      </c>
      <c r="T24" s="13">
        <f t="shared" si="20"/>
        <v>310.11951704714738</v>
      </c>
      <c r="U24" s="13">
        <f t="shared" si="21"/>
        <v>484.9615380380248</v>
      </c>
      <c r="V24" s="13">
        <f t="shared" si="10"/>
        <v>-380.75107231553335</v>
      </c>
      <c r="W24" s="13">
        <f t="shared" si="11"/>
        <v>104.21046572249145</v>
      </c>
      <c r="AC24" s="3">
        <f t="shared" si="12"/>
        <v>0</v>
      </c>
      <c r="AD24" s="3">
        <f t="shared" si="13"/>
        <v>6.6215787025508503E-4</v>
      </c>
      <c r="AE24" s="3">
        <f t="shared" si="14"/>
        <v>193.60051165061452</v>
      </c>
      <c r="AF24" s="3">
        <f t="shared" si="15"/>
        <v>-456.51613424088634</v>
      </c>
      <c r="AG24" s="3">
        <f t="shared" si="16"/>
        <v>37.912701470898767</v>
      </c>
    </row>
    <row r="25" spans="1:33">
      <c r="A25" s="5">
        <v>43915</v>
      </c>
      <c r="B25" s="28">
        <v>2467</v>
      </c>
      <c r="C25" s="28">
        <v>28.25</v>
      </c>
      <c r="D25" s="28">
        <v>52.093489510101797</v>
      </c>
      <c r="E25">
        <f t="shared" si="0"/>
        <v>9.8630136986301367E-2</v>
      </c>
      <c r="F25">
        <f t="shared" si="17"/>
        <v>2.7397260273972603E-3</v>
      </c>
      <c r="G25">
        <f t="shared" si="1"/>
        <v>-0.83161356212421567</v>
      </c>
      <c r="H25">
        <f t="shared" si="2"/>
        <v>-0.99521543384895339</v>
      </c>
      <c r="I25" s="1">
        <f t="shared" si="3"/>
        <v>0.20281355222819031</v>
      </c>
      <c r="J25" s="1">
        <f t="shared" si="4"/>
        <v>0.15981574846473395</v>
      </c>
      <c r="K25">
        <f t="shared" si="5"/>
        <v>0.20235199671483284</v>
      </c>
      <c r="L25">
        <f t="shared" si="6"/>
        <v>6.9789203121879153E-4</v>
      </c>
      <c r="M25">
        <f t="shared" si="7"/>
        <v>-567.84846144304913</v>
      </c>
      <c r="N25">
        <f t="shared" si="8"/>
        <v>218.23259886236633</v>
      </c>
      <c r="O25">
        <f t="shared" si="18"/>
        <v>44.978582548685566</v>
      </c>
      <c r="Q25" s="13">
        <v>1</v>
      </c>
      <c r="R25" s="13">
        <f t="shared" si="9"/>
        <v>-0.20235199671483284</v>
      </c>
      <c r="S25" s="13">
        <f t="shared" si="19"/>
        <v>-2.5679853067602832E-2</v>
      </c>
      <c r="T25" s="13">
        <f t="shared" si="20"/>
        <v>88.624896239044404</v>
      </c>
      <c r="U25" s="13">
        <f t="shared" si="21"/>
        <v>573.56965653941756</v>
      </c>
      <c r="V25" s="13">
        <f t="shared" si="10"/>
        <v>-470.95237589549259</v>
      </c>
      <c r="W25" s="13">
        <f t="shared" si="11"/>
        <v>102.61728064392497</v>
      </c>
      <c r="AC25" s="3">
        <f t="shared" si="12"/>
        <v>0</v>
      </c>
      <c r="AD25" s="3">
        <f t="shared" si="13"/>
        <v>6.9789203121879153E-4</v>
      </c>
      <c r="AE25" s="3">
        <f t="shared" si="14"/>
        <v>218.23259886236633</v>
      </c>
      <c r="AF25" s="3">
        <f t="shared" si="15"/>
        <v>-567.84846144304913</v>
      </c>
      <c r="AG25" s="3">
        <f t="shared" si="16"/>
        <v>44.978582548685566</v>
      </c>
    </row>
    <row r="26" spans="1:33">
      <c r="A26" s="5">
        <v>43916</v>
      </c>
      <c r="B26" s="28">
        <v>2608</v>
      </c>
      <c r="C26" s="28">
        <v>50</v>
      </c>
      <c r="D26" s="28">
        <v>52.393737264855503</v>
      </c>
      <c r="E26">
        <f t="shared" si="0"/>
        <v>9.5890410958904104E-2</v>
      </c>
      <c r="F26">
        <f t="shared" si="17"/>
        <v>2.7397260273972603E-3</v>
      </c>
      <c r="G26">
        <f t="shared" si="1"/>
        <v>-0.49708734269498794</v>
      </c>
      <c r="H26">
        <f t="shared" si="2"/>
        <v>-0.65933071616733119</v>
      </c>
      <c r="I26" s="1">
        <f t="shared" si="3"/>
        <v>0.3095637299758851</v>
      </c>
      <c r="J26" s="1">
        <f t="shared" si="4"/>
        <v>0.25484171104887704</v>
      </c>
      <c r="K26">
        <f t="shared" si="5"/>
        <v>0.30887878399218621</v>
      </c>
      <c r="L26">
        <f t="shared" si="6"/>
        <v>8.3141401666108662E-4</v>
      </c>
      <c r="M26">
        <f t="shared" si="7"/>
        <v>-762.4497058426241</v>
      </c>
      <c r="N26">
        <f t="shared" si="8"/>
        <v>284.11036225584746</v>
      </c>
      <c r="O26">
        <f t="shared" si="18"/>
        <v>69.73482788510097</v>
      </c>
      <c r="Q26" s="13">
        <v>1</v>
      </c>
      <c r="R26" s="13">
        <f t="shared" si="9"/>
        <v>-0.30887878399218621</v>
      </c>
      <c r="S26" s="13">
        <f t="shared" si="19"/>
        <v>-3.159435560043429E-2</v>
      </c>
      <c r="T26" s="13">
        <f t="shared" si="20"/>
        <v>277.82186121933762</v>
      </c>
      <c r="U26" s="13">
        <f t="shared" si="21"/>
        <v>851.37045203868809</v>
      </c>
      <c r="V26" s="13">
        <f t="shared" si="10"/>
        <v>-755.55586865162161</v>
      </c>
      <c r="W26" s="13">
        <f t="shared" si="11"/>
        <v>95.814583387066477</v>
      </c>
      <c r="AC26" s="3">
        <f t="shared" si="12"/>
        <v>0</v>
      </c>
      <c r="AD26" s="3">
        <f t="shared" si="13"/>
        <v>8.3141401666108662E-4</v>
      </c>
      <c r="AE26" s="3">
        <f t="shared" si="14"/>
        <v>284.11036225584746</v>
      </c>
      <c r="AF26" s="3">
        <f t="shared" si="15"/>
        <v>-762.4497058426241</v>
      </c>
      <c r="AG26" s="3">
        <f t="shared" si="16"/>
        <v>69.73482788510097</v>
      </c>
    </row>
    <row r="27" spans="1:33">
      <c r="A27" s="5">
        <v>43917</v>
      </c>
      <c r="B27" s="28">
        <v>2524</v>
      </c>
      <c r="C27" s="28">
        <v>30.5</v>
      </c>
      <c r="D27" s="28">
        <v>53.714508407207298</v>
      </c>
      <c r="E27">
        <f t="shared" si="0"/>
        <v>9.3150684931506855E-2</v>
      </c>
      <c r="F27">
        <f t="shared" si="17"/>
        <v>2.7397260273972603E-3</v>
      </c>
      <c r="G27">
        <f t="shared" si="1"/>
        <v>-0.68968089506770691</v>
      </c>
      <c r="H27">
        <f t="shared" si="2"/>
        <v>-0.85362078219355442</v>
      </c>
      <c r="I27" s="1">
        <f t="shared" si="3"/>
        <v>0.24519744141223071</v>
      </c>
      <c r="J27" s="1">
        <f t="shared" si="4"/>
        <v>0.19665756987316899</v>
      </c>
      <c r="K27">
        <f t="shared" si="5"/>
        <v>0.24467039750506059</v>
      </c>
      <c r="L27">
        <f t="shared" si="6"/>
        <v>7.5842628742735219E-4</v>
      </c>
      <c r="M27">
        <f t="shared" si="7"/>
        <v>-686.52072728474639</v>
      </c>
      <c r="N27">
        <f t="shared" si="8"/>
        <v>241.7518112720625</v>
      </c>
      <c r="O27">
        <f t="shared" si="18"/>
        <v>52.279117446140852</v>
      </c>
      <c r="Q27" s="13">
        <v>1</v>
      </c>
      <c r="R27" s="13">
        <f t="shared" si="9"/>
        <v>-0.24467039750506059</v>
      </c>
      <c r="S27" s="13">
        <f t="shared" si="19"/>
        <v>-5.0983368267310106E-2</v>
      </c>
      <c r="T27" s="13">
        <f t="shared" si="20"/>
        <v>-162.06196749350508</v>
      </c>
      <c r="U27" s="13">
        <f t="shared" si="21"/>
        <v>689.2731292163196</v>
      </c>
      <c r="V27" s="13">
        <f t="shared" si="10"/>
        <v>-587.04808330277297</v>
      </c>
      <c r="W27" s="13">
        <f t="shared" si="11"/>
        <v>102.22504591354664</v>
      </c>
      <c r="AC27" s="3">
        <f t="shared" si="12"/>
        <v>0</v>
      </c>
      <c r="AD27" s="3">
        <f t="shared" si="13"/>
        <v>7.5842628742735219E-4</v>
      </c>
      <c r="AE27" s="3">
        <f t="shared" si="14"/>
        <v>241.7518112720625</v>
      </c>
      <c r="AF27" s="3">
        <f t="shared" si="15"/>
        <v>-686.52072728474639</v>
      </c>
      <c r="AG27" s="3">
        <f t="shared" si="16"/>
        <v>52.279117446140852</v>
      </c>
    </row>
    <row r="28" spans="1:33">
      <c r="A28" s="5">
        <v>43920</v>
      </c>
      <c r="B28" s="28">
        <v>2611.25</v>
      </c>
      <c r="C28" s="28">
        <v>35</v>
      </c>
      <c r="D28" s="28">
        <v>49.697228377060803</v>
      </c>
      <c r="E28">
        <f t="shared" si="0"/>
        <v>8.4931506849315067E-2</v>
      </c>
      <c r="F28">
        <f t="shared" si="17"/>
        <v>8.21917808219178E-3</v>
      </c>
      <c r="G28">
        <f t="shared" si="1"/>
        <v>-0.56546085569263405</v>
      </c>
      <c r="H28">
        <f t="shared" si="2"/>
        <v>-0.710293541172626</v>
      </c>
      <c r="I28" s="1">
        <f t="shared" si="3"/>
        <v>0.28588017103346985</v>
      </c>
      <c r="J28" s="1">
        <f t="shared" si="4"/>
        <v>0.23876106211549855</v>
      </c>
      <c r="K28">
        <f t="shared" si="5"/>
        <v>0.28531984746902173</v>
      </c>
      <c r="L28">
        <f t="shared" si="6"/>
        <v>8.9724494889414517E-4</v>
      </c>
      <c r="M28">
        <f t="shared" si="7"/>
        <v>-742.87565038319929</v>
      </c>
      <c r="N28">
        <f t="shared" si="8"/>
        <v>258.23132652704123</v>
      </c>
      <c r="O28">
        <f t="shared" si="18"/>
        <v>57.88237127169247</v>
      </c>
      <c r="Q28" s="13">
        <v>1</v>
      </c>
      <c r="R28" s="13">
        <f t="shared" si="9"/>
        <v>-0.28531984746902173</v>
      </c>
      <c r="S28" s="13">
        <f t="shared" si="19"/>
        <v>-0.1172606715797252</v>
      </c>
      <c r="T28" s="13">
        <f t="shared" si="20"/>
        <v>106.14587621839352</v>
      </c>
      <c r="U28" s="13">
        <f t="shared" si="21"/>
        <v>795.33970304087154</v>
      </c>
      <c r="V28" s="13">
        <f t="shared" si="10"/>
        <v>-710.04145170348295</v>
      </c>
      <c r="W28" s="13">
        <f t="shared" si="11"/>
        <v>85.298251337388592</v>
      </c>
      <c r="AC28" s="3">
        <f t="shared" si="12"/>
        <v>0</v>
      </c>
      <c r="AD28" s="3">
        <f t="shared" si="13"/>
        <v>8.9724494889414517E-4</v>
      </c>
      <c r="AE28" s="3">
        <f t="shared" si="14"/>
        <v>258.23132652704123</v>
      </c>
      <c r="AF28" s="3">
        <f t="shared" si="15"/>
        <v>-742.87565038319929</v>
      </c>
      <c r="AG28" s="3">
        <f t="shared" si="16"/>
        <v>57.88237127169247</v>
      </c>
    </row>
    <row r="29" spans="1:33">
      <c r="A29" s="5">
        <v>43921</v>
      </c>
      <c r="B29" s="28">
        <v>2569.75</v>
      </c>
      <c r="C29" s="28">
        <v>14.75</v>
      </c>
      <c r="D29" s="28">
        <v>44.392373854031099</v>
      </c>
      <c r="E29">
        <f t="shared" si="0"/>
        <v>8.2191780821917804E-2</v>
      </c>
      <c r="F29">
        <f t="shared" si="17"/>
        <v>2.7397260273972603E-3</v>
      </c>
      <c r="G29">
        <f t="shared" si="1"/>
        <v>-0.78779805762229682</v>
      </c>
      <c r="H29">
        <f t="shared" si="2"/>
        <v>-0.9150670378973097</v>
      </c>
      <c r="I29" s="1">
        <f t="shared" si="3"/>
        <v>0.21540741870340616</v>
      </c>
      <c r="J29" s="1">
        <f t="shared" si="4"/>
        <v>0.18007821897930015</v>
      </c>
      <c r="K29">
        <f t="shared" si="5"/>
        <v>0.21499882769087111</v>
      </c>
      <c r="L29">
        <f t="shared" si="6"/>
        <v>8.9269866724846323E-4</v>
      </c>
      <c r="M29">
        <f t="shared" si="7"/>
        <v>-571.54871756031082</v>
      </c>
      <c r="N29">
        <f t="shared" si="8"/>
        <v>215.09157287420354</v>
      </c>
      <c r="O29">
        <f t="shared" si="18"/>
        <v>42.250421460935762</v>
      </c>
      <c r="Q29" s="13">
        <v>1</v>
      </c>
      <c r="R29" s="13">
        <f t="shared" si="9"/>
        <v>-0.21499882769087111</v>
      </c>
      <c r="S29" s="13">
        <f t="shared" si="19"/>
        <v>-4.7153430550001048E-2</v>
      </c>
      <c r="T29" s="13">
        <f t="shared" si="20"/>
        <v>-180.70744057490253</v>
      </c>
      <c r="U29" s="13">
        <f t="shared" si="21"/>
        <v>614.59970855574409</v>
      </c>
      <c r="V29" s="13">
        <f t="shared" si="10"/>
        <v>-537.74323745861602</v>
      </c>
      <c r="W29" s="13">
        <f t="shared" si="11"/>
        <v>76.856471097128065</v>
      </c>
      <c r="AC29" s="3">
        <f t="shared" si="12"/>
        <v>0</v>
      </c>
      <c r="AD29" s="3">
        <f t="shared" si="13"/>
        <v>8.9269866724846323E-4</v>
      </c>
      <c r="AE29" s="3">
        <f t="shared" si="14"/>
        <v>215.09157287420354</v>
      </c>
      <c r="AF29" s="3">
        <f t="shared" si="15"/>
        <v>-571.54871756031082</v>
      </c>
      <c r="AG29" s="3">
        <f t="shared" si="16"/>
        <v>42.250421460935762</v>
      </c>
    </row>
    <row r="30" spans="1:33">
      <c r="A30" s="5">
        <v>43922</v>
      </c>
      <c r="B30" s="28">
        <v>2448</v>
      </c>
      <c r="C30" s="28">
        <v>6.5</v>
      </c>
      <c r="D30" s="28">
        <v>45.217639054816203</v>
      </c>
      <c r="E30">
        <f t="shared" si="0"/>
        <v>7.9452054794520555E-2</v>
      </c>
      <c r="F30">
        <f t="shared" si="17"/>
        <v>2.7397260273972603E-3</v>
      </c>
      <c r="G30">
        <f t="shared" si="1"/>
        <v>-1.1669179584051876</v>
      </c>
      <c r="H30">
        <f t="shared" si="2"/>
        <v>-1.2943740067728318</v>
      </c>
      <c r="I30" s="1">
        <f t="shared" si="3"/>
        <v>0.12162175141415288</v>
      </c>
      <c r="J30" s="1">
        <f t="shared" si="4"/>
        <v>9.7768132301791821E-2</v>
      </c>
      <c r="K30">
        <f t="shared" si="5"/>
        <v>0.12139873856410147</v>
      </c>
      <c r="L30">
        <f t="shared" si="6"/>
        <v>6.4602937206076794E-4</v>
      </c>
      <c r="M30">
        <f t="shared" si="7"/>
        <v>-390.79387736078928</v>
      </c>
      <c r="N30">
        <f t="shared" si="8"/>
        <v>139.08750192715434</v>
      </c>
      <c r="O30">
        <f t="shared" si="18"/>
        <v>22.175397134100166</v>
      </c>
      <c r="Q30" s="13">
        <v>1</v>
      </c>
      <c r="R30" s="13">
        <f t="shared" si="9"/>
        <v>-0.12139873856410147</v>
      </c>
      <c r="S30" s="13">
        <f t="shared" si="19"/>
        <v>-3.4967116852739136E-2</v>
      </c>
      <c r="T30" s="13">
        <f t="shared" si="20"/>
        <v>-229.13301818233211</v>
      </c>
      <c r="U30" s="13">
        <f t="shared" si="21"/>
        <v>385.44300505338458</v>
      </c>
      <c r="V30" s="13">
        <f t="shared" si="10"/>
        <v>-290.68411200492039</v>
      </c>
      <c r="W30" s="13">
        <f t="shared" si="11"/>
        <v>94.758893048464188</v>
      </c>
      <c r="AC30" s="3">
        <f t="shared" si="12"/>
        <v>0</v>
      </c>
      <c r="AD30" s="3">
        <f t="shared" si="13"/>
        <v>6.4602937206076794E-4</v>
      </c>
      <c r="AE30" s="3">
        <f t="shared" si="14"/>
        <v>139.08750192715434</v>
      </c>
      <c r="AF30" s="3">
        <f t="shared" si="15"/>
        <v>-390.79387736078928</v>
      </c>
      <c r="AG30" s="3">
        <f t="shared" si="16"/>
        <v>22.175397134100166</v>
      </c>
    </row>
    <row r="31" spans="1:33">
      <c r="A31" s="5">
        <v>43923</v>
      </c>
      <c r="B31" s="28">
        <v>2516.5</v>
      </c>
      <c r="C31" s="28">
        <v>6.75</v>
      </c>
      <c r="D31" s="28">
        <v>41.634995146741197</v>
      </c>
      <c r="E31">
        <f t="shared" si="0"/>
        <v>7.6712328767123292E-2</v>
      </c>
      <c r="F31">
        <f t="shared" si="17"/>
        <v>2.7397260273972603E-3</v>
      </c>
      <c r="G31">
        <f t="shared" si="1"/>
        <v>-1.0628298805387744</v>
      </c>
      <c r="H31">
        <f t="shared" si="2"/>
        <v>-1.1781462874128128</v>
      </c>
      <c r="I31" s="1">
        <f t="shared" si="3"/>
        <v>0.143929553133157</v>
      </c>
      <c r="J31" s="1">
        <f t="shared" si="4"/>
        <v>0.11936914577803834</v>
      </c>
      <c r="K31">
        <f t="shared" si="5"/>
        <v>0.14367472792725117</v>
      </c>
      <c r="L31">
        <f t="shared" si="6"/>
        <v>7.8011982590221252E-4</v>
      </c>
      <c r="M31">
        <f t="shared" si="7"/>
        <v>-422.12982411802165</v>
      </c>
      <c r="N31">
        <f t="shared" si="8"/>
        <v>157.78977972262615</v>
      </c>
      <c r="O31">
        <f t="shared" si="18"/>
        <v>26.142895830115531</v>
      </c>
      <c r="Q31" s="13">
        <v>1</v>
      </c>
      <c r="R31" s="13">
        <f t="shared" si="9"/>
        <v>-0.14367472792725117</v>
      </c>
      <c r="S31" s="13">
        <f t="shared" si="19"/>
        <v>-1.8808685548901301E-2</v>
      </c>
      <c r="T31" s="13">
        <f t="shared" si="20"/>
        <v>56.057527232366219</v>
      </c>
      <c r="U31" s="13">
        <f t="shared" si="21"/>
        <v>441.48879892030089</v>
      </c>
      <c r="V31" s="13">
        <f t="shared" si="10"/>
        <v>-354.80745282892758</v>
      </c>
      <c r="W31" s="13">
        <f t="shared" si="11"/>
        <v>86.681346091373314</v>
      </c>
      <c r="AC31" s="3">
        <f t="shared" si="12"/>
        <v>0</v>
      </c>
      <c r="AD31" s="3">
        <f t="shared" si="13"/>
        <v>7.8011982590221252E-4</v>
      </c>
      <c r="AE31" s="3">
        <f t="shared" si="14"/>
        <v>157.78977972262615</v>
      </c>
      <c r="AF31" s="3">
        <f t="shared" si="15"/>
        <v>-422.12982411802165</v>
      </c>
      <c r="AG31" s="3">
        <f t="shared" si="16"/>
        <v>26.142895830115531</v>
      </c>
    </row>
    <row r="32" spans="1:33">
      <c r="A32" s="5">
        <v>43924</v>
      </c>
      <c r="B32" s="28">
        <v>2482.75</v>
      </c>
      <c r="C32" s="28">
        <v>3.5</v>
      </c>
      <c r="D32" s="28">
        <v>36.453028077228502</v>
      </c>
      <c r="E32">
        <f t="shared" si="0"/>
        <v>7.3972602739726029E-2</v>
      </c>
      <c r="F32">
        <f t="shared" si="17"/>
        <v>2.7397260273972603E-3</v>
      </c>
      <c r="G32">
        <f t="shared" si="1"/>
        <v>-1.3894164136076728</v>
      </c>
      <c r="H32">
        <f t="shared" si="2"/>
        <v>-1.4885610124657744</v>
      </c>
      <c r="I32" s="1">
        <f t="shared" si="3"/>
        <v>8.2353081009514828E-2</v>
      </c>
      <c r="J32" s="1">
        <f t="shared" si="4"/>
        <v>6.8301502289230681E-2</v>
      </c>
      <c r="K32">
        <f t="shared" si="5"/>
        <v>8.2212478934497776E-2</v>
      </c>
      <c r="L32">
        <f t="shared" si="6"/>
        <v>6.1626562290379935E-4</v>
      </c>
      <c r="M32">
        <f t="shared" si="7"/>
        <v>-248.98255514018643</v>
      </c>
      <c r="N32">
        <f t="shared" si="8"/>
        <v>102.4326558411889</v>
      </c>
      <c r="O32">
        <f t="shared" si="18"/>
        <v>14.425307537367715</v>
      </c>
      <c r="Q32" s="13">
        <v>1</v>
      </c>
      <c r="R32" s="13">
        <f t="shared" si="9"/>
        <v>-8.2212478934497776E-2</v>
      </c>
      <c r="S32" s="13">
        <f t="shared" si="19"/>
        <v>-2.2882853300072857E-2</v>
      </c>
      <c r="T32" s="13">
        <f t="shared" si="20"/>
        <v>-152.59539868675847</v>
      </c>
      <c r="U32" s="13">
        <f t="shared" si="21"/>
        <v>288.8786214955889</v>
      </c>
      <c r="V32" s="13">
        <f t="shared" si="10"/>
        <v>-200.61303207462436</v>
      </c>
      <c r="W32" s="13">
        <f t="shared" si="11"/>
        <v>88.265589420964545</v>
      </c>
      <c r="AC32" s="3">
        <f t="shared" si="12"/>
        <v>0</v>
      </c>
      <c r="AD32" s="3">
        <f t="shared" si="13"/>
        <v>6.1626562290379935E-4</v>
      </c>
      <c r="AE32" s="3">
        <f t="shared" si="14"/>
        <v>102.4326558411889</v>
      </c>
      <c r="AF32" s="3">
        <f t="shared" si="15"/>
        <v>-248.98255514018643</v>
      </c>
      <c r="AG32" s="3">
        <f t="shared" si="16"/>
        <v>14.425307537367715</v>
      </c>
    </row>
    <row r="33" spans="1:33">
      <c r="A33" s="5">
        <v>43927</v>
      </c>
      <c r="B33" s="28">
        <v>2644.5</v>
      </c>
      <c r="C33" s="28">
        <v>17.5</v>
      </c>
      <c r="D33" s="28">
        <v>41.932272785500999</v>
      </c>
      <c r="E33">
        <f t="shared" si="0"/>
        <v>6.575342465753424E-2</v>
      </c>
      <c r="F33">
        <f t="shared" si="17"/>
        <v>8.21917808219178E-3</v>
      </c>
      <c r="G33">
        <f t="shared" si="1"/>
        <v>-0.6848409355241053</v>
      </c>
      <c r="H33">
        <f t="shared" si="2"/>
        <v>-0.79236547496343268</v>
      </c>
      <c r="I33" s="1">
        <f t="shared" si="3"/>
        <v>0.24672215034921224</v>
      </c>
      <c r="J33" s="1">
        <f t="shared" si="4"/>
        <v>0.21407380216542851</v>
      </c>
      <c r="K33">
        <f t="shared" si="5"/>
        <v>0.24634768751967817</v>
      </c>
      <c r="L33">
        <f t="shared" si="6"/>
        <v>1.108040545744519E-3</v>
      </c>
      <c r="M33">
        <f t="shared" si="7"/>
        <v>-670.30624582116309</v>
      </c>
      <c r="N33">
        <f t="shared" si="8"/>
        <v>213.65328510759176</v>
      </c>
      <c r="O33">
        <f t="shared" si="18"/>
        <v>40.196503852007105</v>
      </c>
      <c r="Q33" s="13">
        <v>1</v>
      </c>
      <c r="R33" s="13">
        <f t="shared" si="9"/>
        <v>-0.24634768751967817</v>
      </c>
      <c r="S33" s="13">
        <f t="shared" si="19"/>
        <v>-3.8757194567325397E-2</v>
      </c>
      <c r="T33" s="13">
        <f t="shared" si="20"/>
        <v>434.05555910350949</v>
      </c>
      <c r="U33" s="13">
        <f t="shared" si="21"/>
        <v>722.91133195294606</v>
      </c>
      <c r="V33" s="13">
        <f t="shared" si="10"/>
        <v>-633.96645964578897</v>
      </c>
      <c r="W33" s="13">
        <f t="shared" si="11"/>
        <v>88.944872307157084</v>
      </c>
      <c r="AC33" s="3">
        <f t="shared" si="12"/>
        <v>0</v>
      </c>
      <c r="AD33" s="3">
        <f t="shared" si="13"/>
        <v>1.108040545744519E-3</v>
      </c>
      <c r="AE33" s="3">
        <f t="shared" si="14"/>
        <v>213.65328510759176</v>
      </c>
      <c r="AF33" s="3">
        <f t="shared" si="15"/>
        <v>-670.30624582116309</v>
      </c>
      <c r="AG33" s="3">
        <f t="shared" si="16"/>
        <v>40.196503852007105</v>
      </c>
    </row>
    <row r="34" spans="1:33">
      <c r="A34" s="5">
        <v>43928</v>
      </c>
      <c r="B34" s="28">
        <v>2642</v>
      </c>
      <c r="C34" s="28">
        <v>20.5</v>
      </c>
      <c r="D34" s="28">
        <v>44.551750386374401</v>
      </c>
      <c r="E34">
        <f t="shared" si="0"/>
        <v>6.3013698630136991E-2</v>
      </c>
      <c r="F34">
        <f t="shared" si="17"/>
        <v>2.7397260273972603E-3</v>
      </c>
      <c r="G34">
        <f t="shared" si="1"/>
        <v>-0.66226503057019381</v>
      </c>
      <c r="H34">
        <f t="shared" si="2"/>
        <v>-0.7741011933167804</v>
      </c>
      <c r="I34" s="1">
        <f t="shared" si="3"/>
        <v>0.2539006919258856</v>
      </c>
      <c r="J34" s="1">
        <f t="shared" si="4"/>
        <v>0.21943547593166127</v>
      </c>
      <c r="K34">
        <f t="shared" si="5"/>
        <v>0.25353137875937531</v>
      </c>
      <c r="L34">
        <f t="shared" si="6"/>
        <v>1.0827374066915581E-3</v>
      </c>
      <c r="M34">
        <f t="shared" si="7"/>
        <v>-738.77669544091168</v>
      </c>
      <c r="N34">
        <f t="shared" si="8"/>
        <v>212.17221530600605</v>
      </c>
      <c r="O34">
        <f t="shared" si="18"/>
        <v>39.48895848209051</v>
      </c>
      <c r="Q34" s="13">
        <v>1</v>
      </c>
      <c r="R34" s="13">
        <f t="shared" si="9"/>
        <v>-0.25353137875937531</v>
      </c>
      <c r="S34" s="13">
        <f t="shared" si="19"/>
        <v>-4.1231099813743642E-2</v>
      </c>
      <c r="T34" s="13">
        <f t="shared" si="20"/>
        <v>18.979312255279851</v>
      </c>
      <c r="U34" s="13">
        <f t="shared" si="21"/>
        <v>741.86268310944911</v>
      </c>
      <c r="V34" s="13">
        <f t="shared" si="10"/>
        <v>-649.32990268226956</v>
      </c>
      <c r="W34" s="13">
        <f t="shared" si="11"/>
        <v>92.532780427179546</v>
      </c>
      <c r="AC34" s="3">
        <f t="shared" si="12"/>
        <v>0</v>
      </c>
      <c r="AD34" s="3">
        <f t="shared" si="13"/>
        <v>1.0827374066915581E-3</v>
      </c>
      <c r="AE34" s="3">
        <f t="shared" si="14"/>
        <v>212.17221530600605</v>
      </c>
      <c r="AF34" s="3">
        <f t="shared" si="15"/>
        <v>-738.77669544091168</v>
      </c>
      <c r="AG34" s="3">
        <f t="shared" si="16"/>
        <v>39.48895848209051</v>
      </c>
    </row>
    <row r="35" spans="1:33">
      <c r="A35" s="5">
        <v>43929</v>
      </c>
      <c r="B35" s="28">
        <v>2735</v>
      </c>
      <c r="C35" s="28">
        <v>40.75</v>
      </c>
      <c r="D35" s="28">
        <v>44.673273290413</v>
      </c>
      <c r="E35">
        <f t="shared" si="0"/>
        <v>6.0273972602739728E-2</v>
      </c>
      <c r="F35">
        <f t="shared" si="17"/>
        <v>2.7397260273972603E-3</v>
      </c>
      <c r="G35">
        <f t="shared" si="1"/>
        <v>-0.36164831882718868</v>
      </c>
      <c r="H35">
        <f t="shared" si="2"/>
        <v>-0.47132459168553392</v>
      </c>
      <c r="I35" s="1">
        <f t="shared" si="3"/>
        <v>0.35880742599597448</v>
      </c>
      <c r="J35" s="1">
        <f t="shared" si="4"/>
        <v>0.31870447848494426</v>
      </c>
      <c r="K35">
        <f t="shared" si="5"/>
        <v>0.35830819572188866</v>
      </c>
      <c r="L35">
        <f t="shared" si="6"/>
        <v>1.2440412776622784E-3</v>
      </c>
      <c r="M35">
        <f t="shared" si="7"/>
        <v>-912.03794089536234</v>
      </c>
      <c r="N35">
        <f t="shared" si="8"/>
        <v>250.56882906673627</v>
      </c>
      <c r="O35">
        <f t="shared" si="18"/>
        <v>54.862972615250548</v>
      </c>
      <c r="Q35" s="13">
        <v>1</v>
      </c>
      <c r="R35" s="13">
        <f t="shared" si="9"/>
        <v>-0.35830819572188866</v>
      </c>
      <c r="S35" s="13">
        <f t="shared" si="19"/>
        <v>-4.2393316135935888E-2</v>
      </c>
      <c r="T35" s="13">
        <f t="shared" si="20"/>
        <v>286.56459439247396</v>
      </c>
      <c r="U35" s="13">
        <f t="shared" si="21"/>
        <v>1028.3985020641339</v>
      </c>
      <c r="V35" s="13">
        <f t="shared" si="10"/>
        <v>-939.22291529936547</v>
      </c>
      <c r="W35" s="13">
        <f t="shared" si="11"/>
        <v>89.175586764768468</v>
      </c>
      <c r="AC35" s="3">
        <f t="shared" si="12"/>
        <v>0</v>
      </c>
      <c r="AD35" s="3">
        <f t="shared" si="13"/>
        <v>1.2440412776622784E-3</v>
      </c>
      <c r="AE35" s="3">
        <f t="shared" si="14"/>
        <v>250.56882906673627</v>
      </c>
      <c r="AF35" s="3">
        <f t="shared" si="15"/>
        <v>-912.03794089536234</v>
      </c>
      <c r="AG35" s="3">
        <f t="shared" si="16"/>
        <v>54.862972615250548</v>
      </c>
    </row>
    <row r="36" spans="1:33">
      <c r="A36" s="5">
        <v>43930</v>
      </c>
      <c r="B36" s="28">
        <v>2779.75</v>
      </c>
      <c r="C36" s="28">
        <v>57.5</v>
      </c>
      <c r="D36" s="28">
        <v>45.4563535797081</v>
      </c>
      <c r="E36">
        <f t="shared" si="0"/>
        <v>5.7534246575342465E-2</v>
      </c>
      <c r="F36">
        <f t="shared" si="17"/>
        <v>2.7397260273972603E-3</v>
      </c>
      <c r="G36">
        <f t="shared" si="1"/>
        <v>-0.21516518580252281</v>
      </c>
      <c r="H36">
        <f t="shared" si="2"/>
        <v>-0.3241981476353385</v>
      </c>
      <c r="I36" s="1">
        <f t="shared" si="3"/>
        <v>0.41481926646077893</v>
      </c>
      <c r="J36" s="1">
        <f t="shared" si="4"/>
        <v>0.37289401219282481</v>
      </c>
      <c r="K36">
        <f t="shared" si="5"/>
        <v>0.41426832080409204</v>
      </c>
      <c r="L36">
        <f t="shared" si="6"/>
        <v>1.2844472136208532E-3</v>
      </c>
      <c r="M36">
        <f t="shared" si="7"/>
        <v>-1005.9264847902158</v>
      </c>
      <c r="N36">
        <f t="shared" si="8"/>
        <v>259.56657318315501</v>
      </c>
      <c r="O36">
        <f t="shared" si="18"/>
        <v>61.277449094956204</v>
      </c>
      <c r="Q36" s="13">
        <v>1</v>
      </c>
      <c r="R36" s="13">
        <f t="shared" si="9"/>
        <v>-0.41426832080409204</v>
      </c>
      <c r="S36" s="13">
        <f t="shared" si="19"/>
        <v>-6.2022166279200958E-2</v>
      </c>
      <c r="T36" s="13">
        <f t="shared" si="20"/>
        <v>155.55515769725486</v>
      </c>
      <c r="U36" s="13">
        <f t="shared" si="21"/>
        <v>1183.9105152203254</v>
      </c>
      <c r="V36" s="13">
        <f t="shared" si="10"/>
        <v>-1094.0623647551749</v>
      </c>
      <c r="W36" s="13">
        <f t="shared" si="11"/>
        <v>89.848150465150411</v>
      </c>
      <c r="AC36" s="3">
        <f t="shared" si="12"/>
        <v>0</v>
      </c>
      <c r="AD36" s="3">
        <f t="shared" si="13"/>
        <v>1.2844472136208532E-3</v>
      </c>
      <c r="AE36" s="3">
        <f t="shared" si="14"/>
        <v>259.56657318315501</v>
      </c>
      <c r="AF36" s="3">
        <f t="shared" si="15"/>
        <v>-1005.9264847902158</v>
      </c>
      <c r="AG36" s="3">
        <f t="shared" si="16"/>
        <v>61.277449094956204</v>
      </c>
    </row>
    <row r="37" spans="1:33">
      <c r="A37" s="3"/>
      <c r="B37" s="2"/>
      <c r="C37" s="4"/>
      <c r="D37" s="2"/>
    </row>
    <row r="44" spans="1:33">
      <c r="A44" s="2"/>
      <c r="D44" s="5">
        <v>43951</v>
      </c>
    </row>
    <row r="45" spans="1:33">
      <c r="A45" t="s">
        <v>12</v>
      </c>
      <c r="B45">
        <v>2700</v>
      </c>
    </row>
    <row r="46" spans="1:33">
      <c r="A46" t="s">
        <v>20</v>
      </c>
      <c r="B46" s="6">
        <v>2.3099999999999999E-2</v>
      </c>
      <c r="D46" s="5">
        <v>43476</v>
      </c>
    </row>
    <row r="47" spans="1:33">
      <c r="A47" t="s">
        <v>21</v>
      </c>
      <c r="B47" s="6">
        <v>6.7000000000000002E-3</v>
      </c>
    </row>
    <row r="53" spans="1:33">
      <c r="A53" s="3"/>
      <c r="B53" s="2"/>
      <c r="C53" s="4"/>
      <c r="D53" s="2"/>
    </row>
    <row r="54" spans="1:33" ht="21">
      <c r="A54" s="25" t="s">
        <v>55</v>
      </c>
      <c r="B54" s="25" t="s">
        <v>66</v>
      </c>
      <c r="C54" s="26"/>
      <c r="D54" s="25"/>
      <c r="E54" s="24" t="s">
        <v>68</v>
      </c>
      <c r="F54" s="23"/>
      <c r="G54" s="23"/>
      <c r="H54" s="23"/>
      <c r="Q54" s="7" t="s">
        <v>52</v>
      </c>
      <c r="AC54" s="46" t="s">
        <v>54</v>
      </c>
      <c r="AD54" s="46"/>
      <c r="AE54" s="46"/>
      <c r="AF54" s="46"/>
      <c r="AG54" s="46"/>
    </row>
    <row r="55" spans="1:33">
      <c r="C55" s="45" t="s">
        <v>32</v>
      </c>
      <c r="D55" s="45"/>
      <c r="G55" s="45" t="s">
        <v>33</v>
      </c>
      <c r="H55" s="45"/>
      <c r="I55" s="45"/>
      <c r="J55" s="45"/>
      <c r="K55" s="45"/>
      <c r="L55" s="45"/>
      <c r="M55" s="45"/>
      <c r="N55" s="45"/>
      <c r="O55" s="45"/>
      <c r="Q55" s="49" t="s">
        <v>41</v>
      </c>
      <c r="R55" s="49"/>
      <c r="S55" s="49"/>
      <c r="T55" s="11"/>
      <c r="U55" s="11"/>
      <c r="V55" s="11"/>
      <c r="W55" s="11"/>
      <c r="X55" s="11"/>
      <c r="Y55" s="11"/>
      <c r="AC55" s="3"/>
      <c r="AD55" s="3"/>
      <c r="AE55" s="3"/>
      <c r="AF55" s="3"/>
      <c r="AG55" s="3"/>
    </row>
    <row r="56" spans="1:33">
      <c r="A56" s="3" t="s">
        <v>10</v>
      </c>
      <c r="B56" s="2" t="s">
        <v>14</v>
      </c>
      <c r="C56" s="2" t="s">
        <v>13</v>
      </c>
      <c r="D56" s="2" t="s">
        <v>11</v>
      </c>
      <c r="E56" t="s">
        <v>15</v>
      </c>
      <c r="F56" s="2" t="s">
        <v>17</v>
      </c>
      <c r="G56" s="2" t="s">
        <v>0</v>
      </c>
      <c r="H56" s="2" t="s">
        <v>2</v>
      </c>
      <c r="I56" s="2" t="s">
        <v>8</v>
      </c>
      <c r="J56" s="2" t="s">
        <v>9</v>
      </c>
      <c r="K56" s="2" t="s">
        <v>4</v>
      </c>
      <c r="L56" s="2" t="s">
        <v>18</v>
      </c>
      <c r="M56" s="2" t="s">
        <v>19</v>
      </c>
      <c r="N56" s="2" t="s">
        <v>5</v>
      </c>
      <c r="O56" s="2" t="s">
        <v>6</v>
      </c>
      <c r="Q56" s="11" t="s">
        <v>22</v>
      </c>
      <c r="R56" s="11" t="s">
        <v>35</v>
      </c>
      <c r="S56" s="11" t="s">
        <v>36</v>
      </c>
      <c r="T56" s="11" t="s">
        <v>24</v>
      </c>
      <c r="U56" s="11" t="s">
        <v>37</v>
      </c>
      <c r="V56" s="11" t="s">
        <v>38</v>
      </c>
      <c r="W56" s="11" t="s">
        <v>39</v>
      </c>
      <c r="X56" s="11" t="s">
        <v>40</v>
      </c>
      <c r="Y56" s="12" t="s">
        <v>27</v>
      </c>
      <c r="AC56" s="3" t="s">
        <v>4</v>
      </c>
      <c r="AD56" s="3" t="s">
        <v>7</v>
      </c>
      <c r="AE56" s="3" t="s">
        <v>5</v>
      </c>
      <c r="AF56" s="3" t="s">
        <v>48</v>
      </c>
      <c r="AG56" s="3" t="s">
        <v>6</v>
      </c>
    </row>
    <row r="57" spans="1:33">
      <c r="A57" s="5">
        <v>43899</v>
      </c>
      <c r="B57" s="28">
        <v>2735.25</v>
      </c>
      <c r="C57" s="30">
        <v>175.5</v>
      </c>
      <c r="D57" s="29">
        <v>47.182423300000004</v>
      </c>
      <c r="E57">
        <f>($D$44-A57)/365</f>
        <v>0.14246575342465753</v>
      </c>
      <c r="G57">
        <f>(LN($B57/$B$45)+($B$47-$B$46+1/2*($D57/100)^2)*$E57)/($D57/100*SQRT($E57))</f>
        <v>0.14875963461148739</v>
      </c>
      <c r="H57">
        <f t="shared" ref="H57:H80" si="22">G57-$D57/100*SQRT($E57)</f>
        <v>-2.9328703911257442E-2</v>
      </c>
      <c r="I57" s="1">
        <f t="shared" ref="I57:I80" si="23">_xlfn.NORM.S.DIST(-$G57,TRUE)</f>
        <v>0.44087165153381014</v>
      </c>
      <c r="J57" s="1">
        <f t="shared" ref="J57:J80" si="24">_xlfn.NORM.S.DIST(-$H57,TRUE)</f>
        <v>0.5116987828329298</v>
      </c>
      <c r="K57">
        <f>-EXP(-$B$46*$E57)*I57</f>
        <v>-0.43942314584030601</v>
      </c>
      <c r="L57">
        <f>(1/SQRT(2*PI()))*EXP(-(G57^2)/2)/(B57*D57/100*SQRT(E57))*EXP(-$B$46*E57)</f>
        <v>8.0731489854836544E-4</v>
      </c>
      <c r="M57">
        <f>-(1/SQRT(2*PI()))*EXP(-(G57^2)/2)*B57*D57/100*EXP(-$B$46*E57)/(2*SQRT(E57))-($B$46*EXP(-$B$46*E57)*B57*I57)+($B$47*$B$45*EXP(-$B$47*E57)*J57)</f>
        <v>-690.82364296695448</v>
      </c>
      <c r="N57">
        <f>(1/SQRT(2*PI()))*EXP(-(G57^2)/2)*B57*EXP(-$B$46*E57)*SQRT(E57)</f>
        <v>406.00159749174105</v>
      </c>
      <c r="O57">
        <f>-E57*EXP(-$B$47*E57)*$B$45*J57</f>
        <v>-196.64100459278583</v>
      </c>
      <c r="Q57" s="11">
        <v>1</v>
      </c>
      <c r="R57" s="11">
        <f t="shared" ref="R57:R80" si="25">-L13/L57</f>
        <v>-0.94995005094698692</v>
      </c>
      <c r="S57" s="11">
        <f t="shared" ref="S57:S80" si="26">-(K13+R57*K57)</f>
        <v>-0.85359074317850192</v>
      </c>
      <c r="T57" s="11"/>
      <c r="U57" s="11"/>
      <c r="V57" s="11"/>
      <c r="W57" s="11">
        <f>-(Q57*C13+R57*C57+S57*B57)</f>
        <v>2378.5003142201936</v>
      </c>
      <c r="X57" s="11">
        <f>-W57</f>
        <v>-2378.5003142201936</v>
      </c>
      <c r="Y57" s="11">
        <f t="shared" ref="Y57:Y80" si="27">W57+X57</f>
        <v>0</v>
      </c>
      <c r="AC57" s="3">
        <f t="shared" ref="AC57:AC80" si="28">Q57*K13+R57*K57+S57</f>
        <v>0</v>
      </c>
      <c r="AD57" s="3">
        <f t="shared" ref="AD57:AD80" si="29">Q57*L13+R57*L57</f>
        <v>0</v>
      </c>
      <c r="AE57" s="3">
        <f t="shared" ref="AE57:AE80" si="30">Q57*N13+R57*N57</f>
        <v>19.805333245486224</v>
      </c>
      <c r="AF57" s="3">
        <f t="shared" ref="AF57:AF80" si="31">Q57*M13+R57*M57</f>
        <v>-29.121162349265887</v>
      </c>
      <c r="AG57" s="3">
        <f t="shared" ref="AG57:AG80" si="32">Q57*O13+R57*O57</f>
        <v>335.50444814472269</v>
      </c>
    </row>
    <row r="58" spans="1:33">
      <c r="A58" s="5">
        <v>43900</v>
      </c>
      <c r="B58" s="28">
        <v>2854.25</v>
      </c>
      <c r="C58" s="30">
        <v>121.25</v>
      </c>
      <c r="D58" s="29">
        <v>45.601528799999997</v>
      </c>
      <c r="E58">
        <f t="shared" ref="E58:E79" si="33">($D$44-A58)/365</f>
        <v>0.13972602739726028</v>
      </c>
      <c r="F58">
        <f t="shared" ref="F58:F80" si="34">(A58-A57)/365</f>
        <v>2.7397260273972603E-3</v>
      </c>
      <c r="G58">
        <f t="shared" ref="G58:G80" si="35">(LN($B58/$B$45)+($B$47-$B$46+1/2*($D58/100)^2)*$E58)/($D58/100*SQRT($E58))</f>
        <v>0.39771519572621189</v>
      </c>
      <c r="H58">
        <f t="shared" si="22"/>
        <v>0.22725693274823791</v>
      </c>
      <c r="I58" s="1">
        <f t="shared" si="23"/>
        <v>0.3454200674630965</v>
      </c>
      <c r="J58" s="1">
        <f t="shared" si="24"/>
        <v>0.41011197982721098</v>
      </c>
      <c r="K58">
        <f t="shared" ref="K58:K80" si="36">-EXP(-$B$46*$E58)*I58</f>
        <v>-0.34430696238305825</v>
      </c>
      <c r="L58">
        <f t="shared" ref="L58:L80" si="37">(1/SQRT(2*PI()))*EXP(-(G58^2)/2)/(B58*D58/100*SQRT(E58))*EXP(-$B$46*E58)</f>
        <v>7.5517996014748813E-4</v>
      </c>
      <c r="M58">
        <f t="shared" ref="M58:M80" si="38">-(1/SQRT(2*PI()))*EXP(-(G58^2)/2)*B58*D58/100*EXP(-$B$46*E58)/(2*SQRT(E58))-($B$46*EXP(-$B$46*E58)*B58*I58)+($B$47*$B$45*EXP(-$B$47*E58)*J58)</f>
        <v>-654.97002399954636</v>
      </c>
      <c r="N58">
        <f t="shared" ref="N58:N80" si="39">(1/SQRT(2*PI()))*EXP(-(G58^2)/2)*B58*EXP(-$B$46*E58)*SQRT(E58)</f>
        <v>392.00462462515964</v>
      </c>
      <c r="O58">
        <f t="shared" ref="O58:O80" si="40">-E58*EXP(-$B$47*E58)*$B$45*J58</f>
        <v>-154.57418326822724</v>
      </c>
      <c r="Q58" s="11">
        <v>1</v>
      </c>
      <c r="R58" s="11">
        <f t="shared" si="25"/>
        <v>-1.0235139069486627</v>
      </c>
      <c r="S58" s="11">
        <f t="shared" si="26"/>
        <v>-0.87701722958873629</v>
      </c>
      <c r="T58" s="11">
        <f t="shared" ref="T58:T80" si="41">(EXP($B$3*F58)-1)*B57*S57</f>
        <v>-0.14776772316085768</v>
      </c>
      <c r="U58" s="11">
        <f t="shared" ref="U58:U80" si="42">-(R58-R57)*C58</f>
        <v>8.9196175402031912</v>
      </c>
      <c r="V58" s="11">
        <f t="shared" ref="V58:V80" si="43">-(S58-S57)*B58</f>
        <v>66.865048836411447</v>
      </c>
      <c r="W58" s="11">
        <f t="shared" ref="W58:W80" si="44">W57*EXP(F58*$B$4)+T58+V58+U58</f>
        <v>2454.1808734171204</v>
      </c>
      <c r="X58" s="11">
        <f t="shared" ref="X58:X80" si="45">Q58*C14+R58*C58+B58*S58</f>
        <v>-2456.8274887711759</v>
      </c>
      <c r="Y58" s="11">
        <f t="shared" si="27"/>
        <v>-2.6466153540554842</v>
      </c>
      <c r="AC58" s="3">
        <f t="shared" si="28"/>
        <v>0</v>
      </c>
      <c r="AD58" s="3">
        <f t="shared" si="29"/>
        <v>0</v>
      </c>
      <c r="AE58" s="3">
        <f t="shared" si="30"/>
        <v>22.121549105443705</v>
      </c>
      <c r="AF58" s="3">
        <f t="shared" si="31"/>
        <v>-32.65311194158005</v>
      </c>
      <c r="AG58" s="3">
        <f t="shared" si="32"/>
        <v>339.31890404828084</v>
      </c>
    </row>
    <row r="59" spans="1:33">
      <c r="A59" s="5">
        <v>43901</v>
      </c>
      <c r="B59" s="28">
        <v>2729</v>
      </c>
      <c r="C59" s="30">
        <v>176</v>
      </c>
      <c r="D59" s="29">
        <v>47.554116399999998</v>
      </c>
      <c r="E59">
        <f t="shared" si="33"/>
        <v>0.13698630136986301</v>
      </c>
      <c r="F59">
        <f t="shared" si="34"/>
        <v>2.7397260273972603E-3</v>
      </c>
      <c r="G59">
        <f t="shared" si="35"/>
        <v>0.13593818743713987</v>
      </c>
      <c r="H59">
        <f t="shared" si="22"/>
        <v>-4.006749376727306E-2</v>
      </c>
      <c r="I59" s="1">
        <f t="shared" si="23"/>
        <v>0.44593507322868242</v>
      </c>
      <c r="J59" s="1">
        <f t="shared" si="24"/>
        <v>0.51598034140164151</v>
      </c>
      <c r="K59">
        <f t="shared" si="36"/>
        <v>-0.44452619390631132</v>
      </c>
      <c r="L59">
        <f t="shared" si="37"/>
        <v>8.2033806524232456E-4</v>
      </c>
      <c r="M59">
        <f t="shared" si="38"/>
        <v>-709.48757336148788</v>
      </c>
      <c r="N59">
        <f t="shared" si="39"/>
        <v>397.98361435037611</v>
      </c>
      <c r="O59">
        <f t="shared" si="40"/>
        <v>-190.66696803884247</v>
      </c>
      <c r="Q59" s="11">
        <v>1</v>
      </c>
      <c r="R59" s="11">
        <f t="shared" si="25"/>
        <v>-0.94349043102182595</v>
      </c>
      <c r="S59" s="11">
        <f t="shared" si="26"/>
        <v>-0.84972351985921724</v>
      </c>
      <c r="T59" s="11">
        <f t="shared" si="41"/>
        <v>-0.15842838439753687</v>
      </c>
      <c r="U59" s="11">
        <f t="shared" si="42"/>
        <v>-14.084131763123274</v>
      </c>
      <c r="V59" s="11">
        <f t="shared" si="43"/>
        <v>-74.484533851857506</v>
      </c>
      <c r="W59" s="11">
        <f t="shared" si="44"/>
        <v>2365.4988291787504</v>
      </c>
      <c r="X59" s="11">
        <f t="shared" si="45"/>
        <v>-2367.9498015556455</v>
      </c>
      <c r="Y59" s="11">
        <f t="shared" si="27"/>
        <v>-2.4509723768951517</v>
      </c>
      <c r="AC59" s="3">
        <f t="shared" si="28"/>
        <v>0</v>
      </c>
      <c r="AD59" s="3">
        <f t="shared" si="29"/>
        <v>0</v>
      </c>
      <c r="AE59" s="3">
        <f t="shared" si="30"/>
        <v>20.27972492850347</v>
      </c>
      <c r="AF59" s="3">
        <f t="shared" si="31"/>
        <v>-34.431297045845895</v>
      </c>
      <c r="AG59" s="3">
        <f t="shared" si="32"/>
        <v>320.61241184138288</v>
      </c>
    </row>
    <row r="60" spans="1:33">
      <c r="A60" s="5">
        <v>43902</v>
      </c>
      <c r="B60" s="28">
        <v>2456</v>
      </c>
      <c r="C60" s="30">
        <v>355.75</v>
      </c>
      <c r="D60" s="29">
        <v>56.458513799999999</v>
      </c>
      <c r="E60">
        <f t="shared" si="33"/>
        <v>0.13424657534246576</v>
      </c>
      <c r="F60">
        <f t="shared" si="34"/>
        <v>2.7397260273972603E-3</v>
      </c>
      <c r="G60">
        <f t="shared" si="35"/>
        <v>-0.36509060664684745</v>
      </c>
      <c r="H60">
        <f t="shared" si="22"/>
        <v>-0.57195276394451544</v>
      </c>
      <c r="I60" s="1">
        <f t="shared" si="23"/>
        <v>0.64247811375422381</v>
      </c>
      <c r="J60" s="1">
        <f t="shared" si="24"/>
        <v>0.71632301184556013</v>
      </c>
      <c r="K60">
        <f t="shared" si="36"/>
        <v>-0.64048881361544829</v>
      </c>
      <c r="L60">
        <f t="shared" si="37"/>
        <v>7.323354531927653E-4</v>
      </c>
      <c r="M60">
        <f t="shared" si="38"/>
        <v>-727.42790829342698</v>
      </c>
      <c r="N60">
        <f t="shared" si="39"/>
        <v>334.81078685719621</v>
      </c>
      <c r="O60">
        <f t="shared" si="40"/>
        <v>-259.40912914550228</v>
      </c>
      <c r="Q60" s="11">
        <v>1</v>
      </c>
      <c r="R60" s="11">
        <f t="shared" si="25"/>
        <v>-0.84362821226899809</v>
      </c>
      <c r="S60" s="11">
        <f t="shared" si="26"/>
        <v>-0.81619665226670246</v>
      </c>
      <c r="T60" s="11">
        <f t="shared" si="41"/>
        <v>-0.14676213919032455</v>
      </c>
      <c r="U60" s="11">
        <f t="shared" si="42"/>
        <v>-35.525984321318511</v>
      </c>
      <c r="V60" s="11">
        <f t="shared" si="43"/>
        <v>-82.341986807216287</v>
      </c>
      <c r="W60" s="11">
        <f t="shared" si="44"/>
        <v>2247.5275177949115</v>
      </c>
      <c r="X60" s="11">
        <f t="shared" si="45"/>
        <v>-2251.6997144817174</v>
      </c>
      <c r="Y60" s="11">
        <f t="shared" si="27"/>
        <v>-4.1721966868058189</v>
      </c>
      <c r="AC60" s="3">
        <f t="shared" si="28"/>
        <v>0</v>
      </c>
      <c r="AD60" s="3">
        <f t="shared" si="29"/>
        <v>0</v>
      </c>
      <c r="AE60" s="3">
        <f t="shared" si="30"/>
        <v>17.793784139246952</v>
      </c>
      <c r="AF60" s="3">
        <f t="shared" si="31"/>
        <v>-45.793623096026636</v>
      </c>
      <c r="AG60" s="3">
        <f t="shared" si="32"/>
        <v>298.55370102190602</v>
      </c>
    </row>
    <row r="61" spans="1:33">
      <c r="A61" s="5">
        <v>43903</v>
      </c>
      <c r="B61" s="28">
        <v>2684</v>
      </c>
      <c r="C61" s="30">
        <v>201</v>
      </c>
      <c r="D61" s="29">
        <v>49.654124000000003</v>
      </c>
      <c r="E61">
        <f t="shared" si="33"/>
        <v>0.13150684931506848</v>
      </c>
      <c r="F61">
        <f t="shared" si="34"/>
        <v>2.7397260273972603E-3</v>
      </c>
      <c r="G61">
        <f t="shared" si="35"/>
        <v>4.5047329520091862E-2</v>
      </c>
      <c r="H61">
        <f t="shared" si="22"/>
        <v>-0.13501775570687721</v>
      </c>
      <c r="I61" s="1">
        <f t="shared" si="23"/>
        <v>0.4820347918593727</v>
      </c>
      <c r="J61" s="1">
        <f t="shared" si="24"/>
        <v>0.55370108207295421</v>
      </c>
      <c r="K61">
        <f t="shared" si="36"/>
        <v>-0.48057268453195512</v>
      </c>
      <c r="L61">
        <f t="shared" si="37"/>
        <v>8.221254478383281E-4</v>
      </c>
      <c r="M61">
        <f t="shared" si="38"/>
        <v>-749.89045357469672</v>
      </c>
      <c r="N61">
        <f t="shared" si="39"/>
        <v>386.7290638279091</v>
      </c>
      <c r="O61">
        <f t="shared" si="40"/>
        <v>-196.42866011323662</v>
      </c>
      <c r="Q61" s="11">
        <v>1</v>
      </c>
      <c r="R61" s="11">
        <f t="shared" si="25"/>
        <v>-0.91097254460766597</v>
      </c>
      <c r="S61" s="11">
        <f t="shared" si="26"/>
        <v>-0.83936026431089106</v>
      </c>
      <c r="T61" s="11">
        <f t="shared" si="41"/>
        <v>-0.1268691499022512</v>
      </c>
      <c r="U61" s="11">
        <f t="shared" si="42"/>
        <v>13.536210800072244</v>
      </c>
      <c r="V61" s="11">
        <f t="shared" si="43"/>
        <v>62.171134726602197</v>
      </c>
      <c r="W61" s="11">
        <f t="shared" si="44"/>
        <v>2323.1492505349106</v>
      </c>
      <c r="X61" s="11">
        <f t="shared" si="45"/>
        <v>-2340.4484308765723</v>
      </c>
      <c r="Y61" s="11">
        <f t="shared" si="27"/>
        <v>-17.299180341661668</v>
      </c>
      <c r="AC61" s="3">
        <f t="shared" si="28"/>
        <v>0</v>
      </c>
      <c r="AD61" s="3">
        <f t="shared" si="29"/>
        <v>0</v>
      </c>
      <c r="AE61" s="3">
        <f t="shared" si="30"/>
        <v>23.272633617997144</v>
      </c>
      <c r="AF61" s="3">
        <f t="shared" si="31"/>
        <v>-54.181379787489846</v>
      </c>
      <c r="AG61" s="3">
        <f t="shared" si="32"/>
        <v>302.92942716981025</v>
      </c>
    </row>
    <row r="62" spans="1:33">
      <c r="A62" s="5">
        <v>43906</v>
      </c>
      <c r="B62" s="28">
        <v>2405.25</v>
      </c>
      <c r="C62" s="30">
        <v>399.5</v>
      </c>
      <c r="D62" s="29">
        <v>62.314329000000001</v>
      </c>
      <c r="E62">
        <f t="shared" si="33"/>
        <v>0.12328767123287671</v>
      </c>
      <c r="F62">
        <f t="shared" si="34"/>
        <v>8.21917808219178E-3</v>
      </c>
      <c r="G62">
        <f t="shared" si="35"/>
        <v>-0.42816719576885764</v>
      </c>
      <c r="H62">
        <f t="shared" si="22"/>
        <v>-0.6469674123563709</v>
      </c>
      <c r="I62" s="1">
        <f t="shared" si="23"/>
        <v>0.66573530120136026</v>
      </c>
      <c r="J62" s="1">
        <f t="shared" si="24"/>
        <v>0.74117348274666117</v>
      </c>
      <c r="K62">
        <f t="shared" si="36"/>
        <v>-0.66384202080127119</v>
      </c>
      <c r="L62">
        <f t="shared" si="37"/>
        <v>6.8969370765830111E-4</v>
      </c>
      <c r="M62">
        <f t="shared" si="38"/>
        <v>-798.1675379283671</v>
      </c>
      <c r="N62">
        <f t="shared" si="39"/>
        <v>306.53797395756885</v>
      </c>
      <c r="O62">
        <f t="shared" si="40"/>
        <v>-246.51567937234887</v>
      </c>
      <c r="Q62" s="11">
        <v>1</v>
      </c>
      <c r="R62" s="11">
        <f t="shared" si="25"/>
        <v>-0.8390777551680817</v>
      </c>
      <c r="S62" s="11">
        <f t="shared" si="26"/>
        <v>-0.8203429985078049</v>
      </c>
      <c r="T62" s="11">
        <f t="shared" si="41"/>
        <v>-0.42777215953562964</v>
      </c>
      <c r="U62" s="11">
        <f t="shared" si="42"/>
        <v>-28.721968381113918</v>
      </c>
      <c r="V62" s="11">
        <f t="shared" si="43"/>
        <v>-45.741278572872986</v>
      </c>
      <c r="W62" s="11">
        <f t="shared" si="44"/>
        <v>2248.3861672725639</v>
      </c>
      <c r="X62" s="11">
        <f t="shared" si="45"/>
        <v>-2259.5915603505464</v>
      </c>
      <c r="Y62" s="11">
        <f t="shared" si="27"/>
        <v>-11.205393077982535</v>
      </c>
      <c r="AC62" s="3">
        <f t="shared" si="28"/>
        <v>0</v>
      </c>
      <c r="AD62" s="3">
        <f t="shared" si="29"/>
        <v>0</v>
      </c>
      <c r="AE62" s="3">
        <f t="shared" si="30"/>
        <v>18.139408698134673</v>
      </c>
      <c r="AF62" s="3">
        <f t="shared" si="31"/>
        <v>-64.282993551543086</v>
      </c>
      <c r="AG62" s="3">
        <f t="shared" si="32"/>
        <v>274.88227715018161</v>
      </c>
    </row>
    <row r="63" spans="1:33">
      <c r="A63" s="5">
        <v>43907</v>
      </c>
      <c r="B63" s="28">
        <v>2485.5</v>
      </c>
      <c r="C63" s="30">
        <v>334</v>
      </c>
      <c r="D63" s="29">
        <v>58.5771193</v>
      </c>
      <c r="E63">
        <f t="shared" si="33"/>
        <v>0.12054794520547946</v>
      </c>
      <c r="F63">
        <f t="shared" si="34"/>
        <v>2.7397260273972603E-3</v>
      </c>
      <c r="G63">
        <f t="shared" si="35"/>
        <v>-0.31504218654656319</v>
      </c>
      <c r="H63">
        <f t="shared" si="22"/>
        <v>-0.51842203350375216</v>
      </c>
      <c r="I63" s="1">
        <f t="shared" si="23"/>
        <v>0.62363518835424192</v>
      </c>
      <c r="J63" s="1">
        <f t="shared" si="24"/>
        <v>0.69791807749825385</v>
      </c>
      <c r="K63">
        <f t="shared" si="36"/>
        <v>-0.62190099361821327</v>
      </c>
      <c r="L63">
        <f t="shared" si="37"/>
        <v>7.4890514488546302E-4</v>
      </c>
      <c r="M63">
        <f t="shared" si="38"/>
        <v>-816.83518241011552</v>
      </c>
      <c r="N63">
        <f t="shared" si="39"/>
        <v>326.69476196440036</v>
      </c>
      <c r="O63">
        <f t="shared" si="40"/>
        <v>-226.9745985380093</v>
      </c>
      <c r="Q63" s="11">
        <v>1</v>
      </c>
      <c r="R63" s="11">
        <f t="shared" si="25"/>
        <v>-0.84378674948785604</v>
      </c>
      <c r="S63" s="11">
        <f t="shared" si="26"/>
        <v>-0.81816712235803069</v>
      </c>
      <c r="T63" s="11">
        <f t="shared" si="41"/>
        <v>-0.12487875416129039</v>
      </c>
      <c r="U63" s="11">
        <f t="shared" si="42"/>
        <v>1.5728041028046296</v>
      </c>
      <c r="V63" s="11">
        <f t="shared" si="43"/>
        <v>-5.4081401702638088</v>
      </c>
      <c r="W63" s="11">
        <f t="shared" si="44"/>
        <v>2244.4672245758256</v>
      </c>
      <c r="X63" s="11">
        <f t="shared" si="45"/>
        <v>-2258.6291569498289</v>
      </c>
      <c r="Y63" s="11">
        <f t="shared" si="27"/>
        <v>-14.1619323740033</v>
      </c>
      <c r="AC63" s="3">
        <f t="shared" si="28"/>
        <v>0</v>
      </c>
      <c r="AD63" s="3">
        <f t="shared" si="29"/>
        <v>0</v>
      </c>
      <c r="AE63" s="3">
        <f t="shared" si="30"/>
        <v>20.908235296731903</v>
      </c>
      <c r="AF63" s="3">
        <f t="shared" si="31"/>
        <v>-73.402937025782876</v>
      </c>
      <c r="AG63" s="3">
        <f t="shared" si="32"/>
        <v>268.41701303186733</v>
      </c>
    </row>
    <row r="64" spans="1:33">
      <c r="A64" s="5">
        <v>43908</v>
      </c>
      <c r="B64" s="28">
        <v>2401.5</v>
      </c>
      <c r="C64" s="30">
        <v>385.25</v>
      </c>
      <c r="D64" s="29">
        <v>58.087398800000003</v>
      </c>
      <c r="E64">
        <f t="shared" si="33"/>
        <v>0.11780821917808219</v>
      </c>
      <c r="F64">
        <f t="shared" si="34"/>
        <v>2.7397260273972603E-3</v>
      </c>
      <c r="G64">
        <f t="shared" si="35"/>
        <v>-0.49763211367548466</v>
      </c>
      <c r="H64">
        <f t="shared" si="22"/>
        <v>-0.69700666562469415</v>
      </c>
      <c r="I64" s="1">
        <f t="shared" si="23"/>
        <v>0.69062831768883193</v>
      </c>
      <c r="J64" s="1">
        <f t="shared" si="24"/>
        <v>0.75710068882417336</v>
      </c>
      <c r="K64">
        <f t="shared" si="36"/>
        <v>-0.68875141762649961</v>
      </c>
      <c r="L64">
        <f t="shared" si="37"/>
        <v>7.341791161033155E-4</v>
      </c>
      <c r="M64">
        <f t="shared" si="38"/>
        <v>-738.85668584481573</v>
      </c>
      <c r="N64">
        <f t="shared" si="39"/>
        <v>289.75085667388589</v>
      </c>
      <c r="O64">
        <f t="shared" si="40"/>
        <v>-240.63023844857634</v>
      </c>
      <c r="Q64" s="11">
        <v>1</v>
      </c>
      <c r="R64" s="11">
        <f t="shared" si="25"/>
        <v>-0.81237480708050602</v>
      </c>
      <c r="S64" s="11">
        <f t="shared" si="26"/>
        <v>-0.79739920829157074</v>
      </c>
      <c r="T64" s="11">
        <f t="shared" si="41"/>
        <v>-0.12870299381507005</v>
      </c>
      <c r="U64" s="11">
        <f t="shared" si="42"/>
        <v>-12.101450812431592</v>
      </c>
      <c r="V64" s="11">
        <f t="shared" si="43"/>
        <v>-49.874145630603564</v>
      </c>
      <c r="W64" s="11">
        <f t="shared" si="44"/>
        <v>2182.4041253264409</v>
      </c>
      <c r="X64" s="11">
        <f t="shared" si="45"/>
        <v>-2192.4215931399722</v>
      </c>
      <c r="Y64" s="11">
        <f t="shared" si="27"/>
        <v>-10.017467813531312</v>
      </c>
      <c r="AC64" s="3">
        <f t="shared" si="28"/>
        <v>0</v>
      </c>
      <c r="AD64" s="3">
        <f t="shared" si="29"/>
        <v>0</v>
      </c>
      <c r="AE64" s="3">
        <f t="shared" si="30"/>
        <v>19.300932039414107</v>
      </c>
      <c r="AF64" s="3">
        <f t="shared" si="31"/>
        <v>-69.33968929097739</v>
      </c>
      <c r="AG64" s="3">
        <f t="shared" si="32"/>
        <v>254.96325636973006</v>
      </c>
    </row>
    <row r="65" spans="1:33">
      <c r="A65" s="5">
        <v>43909</v>
      </c>
      <c r="B65" s="28">
        <v>2389</v>
      </c>
      <c r="C65" s="30">
        <v>372.5</v>
      </c>
      <c r="D65" s="29">
        <v>50.998755199999998</v>
      </c>
      <c r="E65">
        <f t="shared" si="33"/>
        <v>0.11506849315068493</v>
      </c>
      <c r="F65">
        <f t="shared" si="34"/>
        <v>2.7397260273972603E-3</v>
      </c>
      <c r="G65">
        <f t="shared" si="35"/>
        <v>-0.63180458638502424</v>
      </c>
      <c r="H65">
        <f t="shared" si="22"/>
        <v>-0.80480127440612059</v>
      </c>
      <c r="I65" s="1">
        <f t="shared" si="23"/>
        <v>0.73624271183224721</v>
      </c>
      <c r="J65" s="1">
        <f t="shared" si="24"/>
        <v>0.78953281692766064</v>
      </c>
      <c r="K65">
        <f t="shared" si="36"/>
        <v>-0.73428831681311069</v>
      </c>
      <c r="L65">
        <f t="shared" si="37"/>
        <v>7.8853603543479968E-4</v>
      </c>
      <c r="M65">
        <f t="shared" si="38"/>
        <v>-611.50284659789122</v>
      </c>
      <c r="N65">
        <f t="shared" si="39"/>
        <v>264.10087873825762</v>
      </c>
      <c r="O65">
        <f t="shared" si="40"/>
        <v>-245.10690893392334</v>
      </c>
      <c r="Q65" s="11">
        <v>1</v>
      </c>
      <c r="R65" s="11">
        <f t="shared" si="25"/>
        <v>-0.76708437236256433</v>
      </c>
      <c r="S65" s="11">
        <f t="shared" si="26"/>
        <v>-0.75528526047219635</v>
      </c>
      <c r="T65" s="11">
        <f t="shared" si="41"/>
        <v>-0.12119682684628115</v>
      </c>
      <c r="U65" s="11">
        <f t="shared" si="42"/>
        <v>-16.870686932433284</v>
      </c>
      <c r="V65" s="11">
        <f t="shared" si="43"/>
        <v>-100.61022134048541</v>
      </c>
      <c r="W65" s="11">
        <f t="shared" si="44"/>
        <v>2064.8420811632332</v>
      </c>
      <c r="X65" s="11">
        <f t="shared" si="45"/>
        <v>-2067.8654159731323</v>
      </c>
      <c r="Y65" s="11">
        <f t="shared" si="27"/>
        <v>-3.0233348098990973</v>
      </c>
      <c r="AC65" s="3">
        <f t="shared" si="28"/>
        <v>0</v>
      </c>
      <c r="AD65" s="3">
        <f t="shared" si="29"/>
        <v>0</v>
      </c>
      <c r="AE65" s="3">
        <f t="shared" si="30"/>
        <v>18.529778278894156</v>
      </c>
      <c r="AF65" s="3">
        <f t="shared" si="31"/>
        <v>-57.926309004524512</v>
      </c>
      <c r="AG65" s="3">
        <f t="shared" si="32"/>
        <v>235.66305005477443</v>
      </c>
    </row>
    <row r="66" spans="1:33">
      <c r="A66" s="5">
        <v>43910</v>
      </c>
      <c r="B66" s="28">
        <v>2288.5</v>
      </c>
      <c r="C66" s="30">
        <v>431.25</v>
      </c>
      <c r="D66" s="29">
        <v>41.713570900000001</v>
      </c>
      <c r="E66">
        <f t="shared" si="33"/>
        <v>0.11232876712328767</v>
      </c>
      <c r="F66">
        <f t="shared" si="34"/>
        <v>2.7397260273972603E-3</v>
      </c>
      <c r="G66">
        <f t="shared" si="35"/>
        <v>-1.1260298187648636</v>
      </c>
      <c r="H66">
        <f t="shared" si="22"/>
        <v>-1.2658348707895208</v>
      </c>
      <c r="I66" s="1">
        <f t="shared" si="23"/>
        <v>0.86992355102488994</v>
      </c>
      <c r="J66" s="1">
        <f t="shared" si="24"/>
        <v>0.89721389608948288</v>
      </c>
      <c r="K66">
        <f t="shared" si="36"/>
        <v>-0.86766920420964533</v>
      </c>
      <c r="L66">
        <f t="shared" si="37"/>
        <v>6.5974942648488414E-4</v>
      </c>
      <c r="M66">
        <f t="shared" si="38"/>
        <v>-330.26188469941263</v>
      </c>
      <c r="N66">
        <f t="shared" si="39"/>
        <v>161.90088266047948</v>
      </c>
      <c r="O66">
        <f t="shared" si="40"/>
        <v>-271.90919651101842</v>
      </c>
      <c r="Q66" s="11">
        <v>1</v>
      </c>
      <c r="R66" s="11">
        <f t="shared" si="25"/>
        <v>-0.63136923900842024</v>
      </c>
      <c r="S66" s="11">
        <f t="shared" si="26"/>
        <v>-0.62306346091567</v>
      </c>
      <c r="T66" s="11">
        <f t="shared" si="41"/>
        <v>-0.1141983995439651</v>
      </c>
      <c r="U66" s="11">
        <f t="shared" si="42"/>
        <v>-58.527151258974641</v>
      </c>
      <c r="V66" s="11">
        <f t="shared" si="43"/>
        <v>-302.58958828511055</v>
      </c>
      <c r="W66" s="11">
        <f t="shared" si="44"/>
        <v>1703.6490461481471</v>
      </c>
      <c r="X66" s="11">
        <f t="shared" si="45"/>
        <v>-1691.1587146278919</v>
      </c>
      <c r="Y66" s="11">
        <f t="shared" si="27"/>
        <v>12.490331520255268</v>
      </c>
      <c r="AC66" s="3">
        <f t="shared" si="28"/>
        <v>0</v>
      </c>
      <c r="AD66" s="3">
        <f t="shared" si="29"/>
        <v>0</v>
      </c>
      <c r="AE66" s="3">
        <f t="shared" si="30"/>
        <v>6.5559503328345556</v>
      </c>
      <c r="AF66" s="3">
        <f t="shared" si="31"/>
        <v>-3.509420344875025</v>
      </c>
      <c r="AG66" s="3">
        <f t="shared" si="32"/>
        <v>189.76635987259201</v>
      </c>
    </row>
    <row r="67" spans="1:33">
      <c r="A67" s="5">
        <v>43913</v>
      </c>
      <c r="B67" s="28">
        <v>2220.5</v>
      </c>
      <c r="C67" s="30">
        <v>491</v>
      </c>
      <c r="D67" s="29">
        <v>42.784528899999998</v>
      </c>
      <c r="E67">
        <f t="shared" si="33"/>
        <v>0.10410958904109589</v>
      </c>
      <c r="F67">
        <f t="shared" si="34"/>
        <v>8.21917808219178E-3</v>
      </c>
      <c r="G67">
        <f t="shared" si="35"/>
        <v>-1.3596516906579146</v>
      </c>
      <c r="H67">
        <f t="shared" si="22"/>
        <v>-1.4977003268177518</v>
      </c>
      <c r="I67" s="1">
        <f t="shared" si="23"/>
        <v>0.91302991382623222</v>
      </c>
      <c r="J67" s="1">
        <f t="shared" si="24"/>
        <v>0.93289443654673243</v>
      </c>
      <c r="K67">
        <f t="shared" si="36"/>
        <v>-0.91083677764795856</v>
      </c>
      <c r="L67">
        <f t="shared" si="37"/>
        <v>5.1517274857328609E-4</v>
      </c>
      <c r="M67">
        <f t="shared" si="38"/>
        <v>-262.34237161854588</v>
      </c>
      <c r="N67">
        <f t="shared" si="39"/>
        <v>113.14410289545428</v>
      </c>
      <c r="O67">
        <f t="shared" si="40"/>
        <v>-262.04993972770859</v>
      </c>
      <c r="Q67" s="11">
        <v>1</v>
      </c>
      <c r="R67" s="11">
        <f t="shared" si="25"/>
        <v>-0.53177478623097407</v>
      </c>
      <c r="S67" s="11">
        <f t="shared" si="26"/>
        <v>-0.52358544505827054</v>
      </c>
      <c r="T67" s="11">
        <f t="shared" si="41"/>
        <v>-0.27074771430589661</v>
      </c>
      <c r="U67" s="11">
        <f t="shared" si="42"/>
        <v>-48.900876313726066</v>
      </c>
      <c r="V67" s="11">
        <f t="shared" si="43"/>
        <v>-220.8909342113555</v>
      </c>
      <c r="W67" s="11">
        <f t="shared" si="44"/>
        <v>1433.6803078778273</v>
      </c>
      <c r="X67" s="11">
        <f t="shared" si="45"/>
        <v>-1418.7229007912979</v>
      </c>
      <c r="Y67" s="11">
        <f t="shared" si="27"/>
        <v>14.957407086529429</v>
      </c>
      <c r="AC67" s="3">
        <f t="shared" si="28"/>
        <v>0</v>
      </c>
      <c r="AD67" s="3">
        <f t="shared" si="29"/>
        <v>0</v>
      </c>
      <c r="AE67" s="3">
        <f t="shared" si="30"/>
        <v>0.57219044801113483</v>
      </c>
      <c r="AF67" s="3">
        <f t="shared" si="31"/>
        <v>14.973507956454725</v>
      </c>
      <c r="AG67" s="3">
        <f t="shared" si="32"/>
        <v>147.92061257421179</v>
      </c>
    </row>
    <row r="68" spans="1:33">
      <c r="A68" s="5">
        <v>43914</v>
      </c>
      <c r="B68" s="28">
        <v>2438</v>
      </c>
      <c r="C68" s="30">
        <v>317.5</v>
      </c>
      <c r="D68" s="29">
        <v>46.737857599999998</v>
      </c>
      <c r="E68">
        <f t="shared" si="33"/>
        <v>0.10136986301369863</v>
      </c>
      <c r="F68">
        <f t="shared" si="34"/>
        <v>2.7397260273972603E-3</v>
      </c>
      <c r="G68">
        <f t="shared" si="35"/>
        <v>-0.6227158705736805</v>
      </c>
      <c r="H68">
        <f t="shared" si="22"/>
        <v>-0.77152282589278798</v>
      </c>
      <c r="I68" s="1">
        <f t="shared" si="23"/>
        <v>0.73326437419396318</v>
      </c>
      <c r="J68" s="1">
        <f t="shared" si="24"/>
        <v>0.77980145095487918</v>
      </c>
      <c r="K68">
        <f t="shared" si="36"/>
        <v>-0.73154933897674723</v>
      </c>
      <c r="L68">
        <f t="shared" si="37"/>
        <v>9.0371582499400608E-4</v>
      </c>
      <c r="M68">
        <f t="shared" si="38"/>
        <v>-613.7898012554399</v>
      </c>
      <c r="N68">
        <f t="shared" si="39"/>
        <v>254.49365000112314</v>
      </c>
      <c r="O68">
        <f t="shared" si="40"/>
        <v>-213.28568074192557</v>
      </c>
      <c r="Q68" s="11">
        <v>1</v>
      </c>
      <c r="R68" s="11">
        <f t="shared" si="25"/>
        <v>-0.73270584838931729</v>
      </c>
      <c r="S68" s="11">
        <f t="shared" si="26"/>
        <v>-0.70243831839549409</v>
      </c>
      <c r="T68" s="11">
        <f t="shared" si="41"/>
        <v>-7.3581934432276272E-2</v>
      </c>
      <c r="U68" s="11">
        <f t="shared" si="42"/>
        <v>63.795612235273971</v>
      </c>
      <c r="V68" s="11">
        <f t="shared" si="43"/>
        <v>436.04330519615104</v>
      </c>
      <c r="W68" s="11">
        <f t="shared" si="44"/>
        <v>1933.471960487765</v>
      </c>
      <c r="X68" s="11">
        <f t="shared" si="45"/>
        <v>-1920.1787271118228</v>
      </c>
      <c r="Y68" s="11">
        <f t="shared" si="27"/>
        <v>13.293233375942236</v>
      </c>
      <c r="AC68" s="3">
        <f t="shared" si="28"/>
        <v>0</v>
      </c>
      <c r="AD68" s="3">
        <f t="shared" si="29"/>
        <v>0</v>
      </c>
      <c r="AE68" s="3">
        <f t="shared" si="30"/>
        <v>7.1315259168476075</v>
      </c>
      <c r="AF68" s="3">
        <f t="shared" si="31"/>
        <v>-6.7887571793087886</v>
      </c>
      <c r="AG68" s="3">
        <f t="shared" si="32"/>
        <v>194.18836712820439</v>
      </c>
    </row>
    <row r="69" spans="1:33">
      <c r="A69" s="5">
        <v>43915</v>
      </c>
      <c r="B69" s="28">
        <v>2467</v>
      </c>
      <c r="C69" s="30">
        <v>298.75</v>
      </c>
      <c r="D69" s="29">
        <v>48.124574199999998</v>
      </c>
      <c r="E69">
        <f t="shared" si="33"/>
        <v>9.8630136986301367E-2</v>
      </c>
      <c r="F69">
        <f t="shared" si="34"/>
        <v>2.7397260273972603E-3</v>
      </c>
      <c r="G69">
        <f t="shared" si="35"/>
        <v>-0.53226578772748134</v>
      </c>
      <c r="H69">
        <f t="shared" si="22"/>
        <v>-0.68340310813196803</v>
      </c>
      <c r="I69" s="1">
        <f t="shared" si="23"/>
        <v>0.70272903796491826</v>
      </c>
      <c r="J69" s="1">
        <f t="shared" si="24"/>
        <v>0.75282392171740975</v>
      </c>
      <c r="K69">
        <f t="shared" si="36"/>
        <v>-0.70112979344547821</v>
      </c>
      <c r="L69">
        <f t="shared" si="37"/>
        <v>9.2653198400149701E-4</v>
      </c>
      <c r="M69">
        <f t="shared" si="38"/>
        <v>-679.33015465110805</v>
      </c>
      <c r="N69">
        <f t="shared" si="39"/>
        <v>267.65493239737793</v>
      </c>
      <c r="O69">
        <f t="shared" si="40"/>
        <v>-200.3456050983485</v>
      </c>
      <c r="Q69" s="11">
        <v>1</v>
      </c>
      <c r="R69" s="11">
        <f t="shared" si="25"/>
        <v>-0.75323037225843237</v>
      </c>
      <c r="S69" s="11">
        <f t="shared" si="26"/>
        <v>-0.73046425203324816</v>
      </c>
      <c r="T69" s="11">
        <f t="shared" si="41"/>
        <v>-0.10838639062298848</v>
      </c>
      <c r="U69" s="11">
        <f t="shared" si="42"/>
        <v>6.1317015058981283</v>
      </c>
      <c r="V69" s="11">
        <f t="shared" si="43"/>
        <v>69.139978284339307</v>
      </c>
      <c r="W69" s="11">
        <f t="shared" si="44"/>
        <v>2008.6707453422598</v>
      </c>
      <c r="X69" s="11">
        <f t="shared" si="45"/>
        <v>-1998.8328834782299</v>
      </c>
      <c r="Y69" s="11">
        <f t="shared" si="27"/>
        <v>9.8378618640299464</v>
      </c>
      <c r="AC69" s="3">
        <f t="shared" si="28"/>
        <v>0</v>
      </c>
      <c r="AD69" s="3">
        <f t="shared" si="29"/>
        <v>0</v>
      </c>
      <c r="AE69" s="3">
        <f t="shared" si="30"/>
        <v>16.626774495883808</v>
      </c>
      <c r="AF69" s="3">
        <f t="shared" si="31"/>
        <v>-56.156356168816615</v>
      </c>
      <c r="AG69" s="3">
        <f t="shared" si="32"/>
        <v>195.88497725725551</v>
      </c>
    </row>
    <row r="70" spans="1:33">
      <c r="A70" s="5">
        <v>43916</v>
      </c>
      <c r="B70" s="28">
        <v>2608</v>
      </c>
      <c r="C70" s="30">
        <v>208.25</v>
      </c>
      <c r="D70" s="29">
        <v>48.294673400000001</v>
      </c>
      <c r="E70">
        <f t="shared" si="33"/>
        <v>9.5890410958904104E-2</v>
      </c>
      <c r="F70">
        <f t="shared" si="34"/>
        <v>2.7397260273972603E-3</v>
      </c>
      <c r="G70">
        <f t="shared" si="35"/>
        <v>-0.16755657706934027</v>
      </c>
      <c r="H70">
        <f t="shared" si="22"/>
        <v>-0.31710671687997949</v>
      </c>
      <c r="I70" s="1">
        <f t="shared" si="23"/>
        <v>0.56653393269709207</v>
      </c>
      <c r="J70" s="1">
        <f t="shared" si="24"/>
        <v>0.62441868581078164</v>
      </c>
      <c r="K70">
        <f t="shared" si="36"/>
        <v>-0.56528041006425578</v>
      </c>
      <c r="L70">
        <f t="shared" si="37"/>
        <v>1.0063689057850467E-3</v>
      </c>
      <c r="M70">
        <f t="shared" si="38"/>
        <v>-821.02026945012983</v>
      </c>
      <c r="N70">
        <f t="shared" si="39"/>
        <v>316.99090164897166</v>
      </c>
      <c r="O70">
        <f t="shared" si="40"/>
        <v>-161.56073327214693</v>
      </c>
      <c r="Q70" s="11">
        <v>1</v>
      </c>
      <c r="R70" s="11">
        <f t="shared" si="25"/>
        <v>-0.82615233030527557</v>
      </c>
      <c r="S70" s="11">
        <f t="shared" si="26"/>
        <v>-0.77588651204269288</v>
      </c>
      <c r="T70" s="11">
        <f t="shared" si="41"/>
        <v>-0.11405149297670356</v>
      </c>
      <c r="U70" s="11">
        <f t="shared" si="42"/>
        <v>15.185997763255097</v>
      </c>
      <c r="V70" s="11">
        <f t="shared" si="43"/>
        <v>118.46125410463182</v>
      </c>
      <c r="W70" s="11">
        <f t="shared" si="44"/>
        <v>2142.2408175459759</v>
      </c>
      <c r="X70" s="11">
        <f t="shared" si="45"/>
        <v>-2145.5582461934168</v>
      </c>
      <c r="Y70" s="11">
        <f t="shared" si="27"/>
        <v>-3.31742864744092</v>
      </c>
      <c r="AC70" s="3">
        <f t="shared" si="28"/>
        <v>0</v>
      </c>
      <c r="AD70" s="3">
        <f t="shared" si="29"/>
        <v>0</v>
      </c>
      <c r="AE70" s="3">
        <f t="shared" si="30"/>
        <v>22.227590172979092</v>
      </c>
      <c r="AF70" s="3">
        <f t="shared" si="31"/>
        <v>-84.161897008534083</v>
      </c>
      <c r="AG70" s="3">
        <f t="shared" si="32"/>
        <v>203.20860416371423</v>
      </c>
    </row>
    <row r="71" spans="1:33">
      <c r="A71" s="5">
        <v>43917</v>
      </c>
      <c r="B71" s="28">
        <v>2524</v>
      </c>
      <c r="C71" s="30">
        <v>259.5</v>
      </c>
      <c r="D71" s="29">
        <v>49.175894200000002</v>
      </c>
      <c r="E71">
        <f t="shared" si="33"/>
        <v>9.3150684931506855E-2</v>
      </c>
      <c r="F71">
        <f t="shared" si="34"/>
        <v>2.7397260273972603E-3</v>
      </c>
      <c r="G71">
        <f t="shared" si="35"/>
        <v>-0.38425071270065275</v>
      </c>
      <c r="H71">
        <f t="shared" si="22"/>
        <v>-0.53433847825076797</v>
      </c>
      <c r="I71" s="1">
        <f t="shared" si="23"/>
        <v>0.64960368269259905</v>
      </c>
      <c r="J71" s="1">
        <f t="shared" si="24"/>
        <v>0.7034463124331074</v>
      </c>
      <c r="K71">
        <f t="shared" si="36"/>
        <v>-0.64820738075296014</v>
      </c>
      <c r="L71">
        <f t="shared" si="37"/>
        <v>9.7606654700547362E-4</v>
      </c>
      <c r="M71">
        <f t="shared" si="38"/>
        <v>-776.9284678602337</v>
      </c>
      <c r="N71">
        <f t="shared" si="39"/>
        <v>284.8370293997454</v>
      </c>
      <c r="O71">
        <f t="shared" si="40"/>
        <v>-176.81118170612942</v>
      </c>
      <c r="Q71" s="11">
        <v>1</v>
      </c>
      <c r="R71" s="11">
        <f t="shared" si="25"/>
        <v>-0.77702313408257717</v>
      </c>
      <c r="S71" s="11">
        <f t="shared" si="26"/>
        <v>-0.74834252803318413</v>
      </c>
      <c r="T71" s="11">
        <f t="shared" si="41"/>
        <v>-0.1280674161748579</v>
      </c>
      <c r="U71" s="11">
        <f t="shared" si="42"/>
        <v>-12.749026419790235</v>
      </c>
      <c r="V71" s="11">
        <f t="shared" si="43"/>
        <v>-69.521015640000087</v>
      </c>
      <c r="W71" s="11">
        <f t="shared" si="44"/>
        <v>2059.8820317555219</v>
      </c>
      <c r="X71" s="11">
        <f t="shared" si="45"/>
        <v>-2059.9540440501855</v>
      </c>
      <c r="Y71" s="11">
        <f t="shared" si="27"/>
        <v>-7.2012294663636567E-2</v>
      </c>
      <c r="AC71" s="3">
        <f t="shared" si="28"/>
        <v>0</v>
      </c>
      <c r="AD71" s="3">
        <f t="shared" si="29"/>
        <v>0</v>
      </c>
      <c r="AE71" s="3">
        <f t="shared" si="30"/>
        <v>20.426849985101143</v>
      </c>
      <c r="AF71" s="3">
        <f t="shared" si="31"/>
        <v>-82.829334230012819</v>
      </c>
      <c r="AG71" s="3">
        <f t="shared" si="32"/>
        <v>189.66549599628155</v>
      </c>
    </row>
    <row r="72" spans="1:33">
      <c r="A72" s="5">
        <v>43920</v>
      </c>
      <c r="B72" s="28">
        <v>2611.25</v>
      </c>
      <c r="C72" s="30">
        <v>188</v>
      </c>
      <c r="D72" s="29">
        <v>45.148418399999997</v>
      </c>
      <c r="E72">
        <f t="shared" si="33"/>
        <v>8.4931506849315067E-2</v>
      </c>
      <c r="F72">
        <f t="shared" si="34"/>
        <v>8.21917808219178E-3</v>
      </c>
      <c r="G72">
        <f t="shared" si="35"/>
        <v>-0.19881639723429248</v>
      </c>
      <c r="H72">
        <f t="shared" si="22"/>
        <v>-0.33039248096343116</v>
      </c>
      <c r="I72" s="1">
        <f t="shared" si="23"/>
        <v>0.57879681554698925</v>
      </c>
      <c r="J72" s="1">
        <f t="shared" si="24"/>
        <v>0.62944828890828131</v>
      </c>
      <c r="K72">
        <f t="shared" si="36"/>
        <v>-0.57766237696873424</v>
      </c>
      <c r="L72">
        <f t="shared" si="37"/>
        <v>1.1361854399636973E-3</v>
      </c>
      <c r="M72">
        <f t="shared" si="38"/>
        <v>-813.05350346099624</v>
      </c>
      <c r="N72">
        <f t="shared" si="39"/>
        <v>297.06911061438734</v>
      </c>
      <c r="O72">
        <f t="shared" si="40"/>
        <v>-144.25986433194331</v>
      </c>
      <c r="Q72" s="11">
        <v>1</v>
      </c>
      <c r="R72" s="11">
        <f t="shared" si="25"/>
        <v>-0.78969939002458389</v>
      </c>
      <c r="S72" s="11">
        <f t="shared" si="26"/>
        <v>-0.7414994742013824</v>
      </c>
      <c r="T72" s="11">
        <f t="shared" si="41"/>
        <v>-0.35865044690183867</v>
      </c>
      <c r="U72" s="11">
        <f t="shared" si="42"/>
        <v>2.3831361170972634</v>
      </c>
      <c r="V72" s="11">
        <f t="shared" si="43"/>
        <v>-17.868924318292258</v>
      </c>
      <c r="W72" s="11">
        <f t="shared" si="44"/>
        <v>2044.1510308303757</v>
      </c>
      <c r="X72" s="11">
        <f t="shared" si="45"/>
        <v>-2049.7039873329813</v>
      </c>
      <c r="Y72" s="11">
        <f t="shared" si="27"/>
        <v>-5.5529565026056389</v>
      </c>
      <c r="AC72" s="3">
        <f t="shared" si="28"/>
        <v>0</v>
      </c>
      <c r="AD72" s="3">
        <f t="shared" si="29"/>
        <v>0</v>
      </c>
      <c r="AE72" s="3">
        <f t="shared" si="30"/>
        <v>23.636031079713916</v>
      </c>
      <c r="AF72" s="3">
        <f t="shared" si="31"/>
        <v>-100.8077946426996</v>
      </c>
      <c r="AG72" s="3">
        <f t="shared" si="32"/>
        <v>171.80429813965733</v>
      </c>
    </row>
    <row r="73" spans="1:33">
      <c r="A73" s="5">
        <v>43921</v>
      </c>
      <c r="B73" s="28">
        <v>2569.75</v>
      </c>
      <c r="C73" s="30">
        <v>194.75</v>
      </c>
      <c r="D73" s="29">
        <v>39.367471100000003</v>
      </c>
      <c r="E73">
        <f t="shared" si="33"/>
        <v>8.2191780821917804E-2</v>
      </c>
      <c r="F73">
        <f t="shared" si="34"/>
        <v>2.7397260273972603E-3</v>
      </c>
      <c r="G73">
        <f t="shared" si="35"/>
        <v>-0.39359272573273935</v>
      </c>
      <c r="H73">
        <f t="shared" si="22"/>
        <v>-0.50645575755386996</v>
      </c>
      <c r="I73" s="1">
        <f t="shared" si="23"/>
        <v>0.65305912367711993</v>
      </c>
      <c r="J73" s="1">
        <f t="shared" si="24"/>
        <v>0.69373162962163615</v>
      </c>
      <c r="K73">
        <f t="shared" si="36"/>
        <v>-0.65182038227167238</v>
      </c>
      <c r="L73">
        <f t="shared" si="37"/>
        <v>1.2705843402900812E-3</v>
      </c>
      <c r="M73">
        <f t="shared" si="38"/>
        <v>-676.32519096644467</v>
      </c>
      <c r="N73">
        <f t="shared" si="39"/>
        <v>271.48832340054736</v>
      </c>
      <c r="O73">
        <f t="shared" si="40"/>
        <v>-153.86664735917682</v>
      </c>
      <c r="Q73" s="11">
        <v>1</v>
      </c>
      <c r="R73" s="11">
        <f t="shared" si="25"/>
        <v>-0.70258906783366726</v>
      </c>
      <c r="S73" s="11">
        <f t="shared" si="26"/>
        <v>-0.67296070246611006</v>
      </c>
      <c r="T73" s="11">
        <f t="shared" si="41"/>
        <v>-0.12254403004127984</v>
      </c>
      <c r="U73" s="11">
        <f t="shared" si="42"/>
        <v>-16.964735246681016</v>
      </c>
      <c r="V73" s="11">
        <f t="shared" si="43"/>
        <v>-176.1275086667161</v>
      </c>
      <c r="W73" s="11">
        <f t="shared" si="44"/>
        <v>1850.9737660036735</v>
      </c>
      <c r="X73" s="11">
        <f t="shared" si="45"/>
        <v>-1851.4199861228931</v>
      </c>
      <c r="Y73" s="11">
        <f t="shared" si="27"/>
        <v>-0.44622011921956073</v>
      </c>
      <c r="AC73" s="3">
        <f t="shared" si="28"/>
        <v>0</v>
      </c>
      <c r="AD73" s="3">
        <f t="shared" si="29"/>
        <v>0</v>
      </c>
      <c r="AE73" s="3">
        <f t="shared" si="30"/>
        <v>24.346844808487788</v>
      </c>
      <c r="AF73" s="3">
        <f t="shared" si="31"/>
        <v>-96.37003208676947</v>
      </c>
      <c r="AG73" s="3">
        <f t="shared" si="32"/>
        <v>150.35544579971142</v>
      </c>
    </row>
    <row r="74" spans="1:33">
      <c r="A74" s="5">
        <v>43922</v>
      </c>
      <c r="B74" s="28">
        <v>2448</v>
      </c>
      <c r="C74" s="30">
        <v>283.5</v>
      </c>
      <c r="D74" s="29">
        <v>40.4623493</v>
      </c>
      <c r="E74">
        <f t="shared" si="33"/>
        <v>7.9452054794520555E-2</v>
      </c>
      <c r="F74">
        <f t="shared" si="34"/>
        <v>2.7397260273972603E-3</v>
      </c>
      <c r="G74">
        <f t="shared" si="35"/>
        <v>-0.8134825211628246</v>
      </c>
      <c r="H74">
        <f t="shared" si="22"/>
        <v>-0.92753471975721391</v>
      </c>
      <c r="I74" s="1">
        <f t="shared" si="23"/>
        <v>0.79202926819674435</v>
      </c>
      <c r="J74" s="1">
        <f t="shared" si="24"/>
        <v>0.82317551312679882</v>
      </c>
      <c r="K74">
        <f t="shared" si="36"/>
        <v>-0.79057695639913494</v>
      </c>
      <c r="L74">
        <f t="shared" si="37"/>
        <v>1.0244715375733197E-3</v>
      </c>
      <c r="M74">
        <f t="shared" si="38"/>
        <v>-532.39095746662645</v>
      </c>
      <c r="N74">
        <f t="shared" si="39"/>
        <v>197.36900531278317</v>
      </c>
      <c r="O74">
        <f t="shared" si="40"/>
        <v>-176.49408424141998</v>
      </c>
      <c r="Q74" s="11">
        <v>1</v>
      </c>
      <c r="R74" s="11">
        <f t="shared" si="25"/>
        <v>-0.63059767730690386</v>
      </c>
      <c r="S74" s="11">
        <f t="shared" si="26"/>
        <v>-0.61993473100175733</v>
      </c>
      <c r="T74" s="11">
        <f t="shared" si="41"/>
        <v>-0.10944941315804689</v>
      </c>
      <c r="U74" s="11">
        <f t="shared" si="42"/>
        <v>-20.409559214337424</v>
      </c>
      <c r="V74" s="11">
        <f t="shared" si="43"/>
        <v>-129.80757814473549</v>
      </c>
      <c r="W74" s="11">
        <f t="shared" si="44"/>
        <v>1700.6811563220047</v>
      </c>
      <c r="X74" s="11">
        <f t="shared" si="45"/>
        <v>-1689.8746630088092</v>
      </c>
      <c r="Y74" s="11">
        <f t="shared" si="27"/>
        <v>10.80649331319546</v>
      </c>
      <c r="AC74" s="3">
        <f t="shared" si="28"/>
        <v>0</v>
      </c>
      <c r="AD74" s="3">
        <f t="shared" si="29"/>
        <v>0</v>
      </c>
      <c r="AE74" s="3">
        <f t="shared" si="30"/>
        <v>14.627065604539297</v>
      </c>
      <c r="AF74" s="3">
        <f t="shared" si="31"/>
        <v>-55.069376163135985</v>
      </c>
      <c r="AG74" s="3">
        <f t="shared" si="32"/>
        <v>133.47215671514863</v>
      </c>
    </row>
    <row r="75" spans="1:33">
      <c r="A75" s="5">
        <v>43923</v>
      </c>
      <c r="B75" s="28">
        <v>2516.5</v>
      </c>
      <c r="C75" s="30">
        <v>221.25</v>
      </c>
      <c r="D75" s="29">
        <v>36.5125782</v>
      </c>
      <c r="E75">
        <f t="shared" si="33"/>
        <v>7.6712328767123292E-2</v>
      </c>
      <c r="F75">
        <f t="shared" si="34"/>
        <v>2.7397260273972603E-3</v>
      </c>
      <c r="G75">
        <f t="shared" si="35"/>
        <v>-0.65784672897284369</v>
      </c>
      <c r="H75">
        <f t="shared" si="22"/>
        <v>-0.75897558245034691</v>
      </c>
      <c r="I75" s="1">
        <f t="shared" si="23"/>
        <v>0.74468168795404543</v>
      </c>
      <c r="J75" s="1">
        <f t="shared" si="24"/>
        <v>0.7760664182619581</v>
      </c>
      <c r="K75">
        <f t="shared" si="36"/>
        <v>-0.74336323972478136</v>
      </c>
      <c r="L75">
        <f t="shared" si="37"/>
        <v>1.2603620281272339E-3</v>
      </c>
      <c r="M75">
        <f t="shared" si="38"/>
        <v>-561.22060937223853</v>
      </c>
      <c r="N75">
        <f t="shared" si="39"/>
        <v>223.56141350771543</v>
      </c>
      <c r="O75">
        <f t="shared" si="40"/>
        <v>-160.65883253925742</v>
      </c>
      <c r="Q75" s="11">
        <v>1</v>
      </c>
      <c r="R75" s="11">
        <f t="shared" si="25"/>
        <v>-0.61896487556149948</v>
      </c>
      <c r="S75" s="11">
        <f t="shared" si="26"/>
        <v>-0.60379046310049356</v>
      </c>
      <c r="T75" s="11">
        <f t="shared" si="41"/>
        <v>-9.6048423189322718E-2</v>
      </c>
      <c r="U75" s="11">
        <f t="shared" si="42"/>
        <v>-2.5737573861707181</v>
      </c>
      <c r="V75" s="11">
        <f t="shared" si="43"/>
        <v>-40.627050173530293</v>
      </c>
      <c r="W75" s="11">
        <f t="shared" si="44"/>
        <v>1657.415518608507</v>
      </c>
      <c r="X75" s="11">
        <f t="shared" si="45"/>
        <v>-1649.6346791103738</v>
      </c>
      <c r="Y75" s="11">
        <f t="shared" si="27"/>
        <v>7.7808394981332185</v>
      </c>
      <c r="AC75" s="3">
        <f t="shared" si="28"/>
        <v>0</v>
      </c>
      <c r="AD75" s="3">
        <f t="shared" si="29"/>
        <v>0</v>
      </c>
      <c r="AE75" s="3">
        <f t="shared" si="30"/>
        <v>19.413117230470135</v>
      </c>
      <c r="AF75" s="3">
        <f t="shared" si="31"/>
        <v>-74.753979475385108</v>
      </c>
      <c r="AG75" s="3">
        <f t="shared" si="32"/>
        <v>125.58507012063279</v>
      </c>
    </row>
    <row r="76" spans="1:33">
      <c r="A76" s="5">
        <v>43924</v>
      </c>
      <c r="B76" s="28">
        <v>2482.75</v>
      </c>
      <c r="C76" s="30">
        <v>237.25</v>
      </c>
      <c r="D76" s="29">
        <v>32.032873000000002</v>
      </c>
      <c r="E76">
        <f t="shared" si="33"/>
        <v>7.3972602739726029E-2</v>
      </c>
      <c r="F76">
        <f t="shared" si="34"/>
        <v>2.7397260273972603E-3</v>
      </c>
      <c r="G76">
        <f t="shared" si="35"/>
        <v>-0.93320020222923539</v>
      </c>
      <c r="H76">
        <f t="shared" si="22"/>
        <v>-1.0203229053728304</v>
      </c>
      <c r="I76" s="1">
        <f t="shared" si="23"/>
        <v>0.82464169482727767</v>
      </c>
      <c r="J76" s="1">
        <f t="shared" si="24"/>
        <v>0.84621232819882053</v>
      </c>
      <c r="K76">
        <f t="shared" si="36"/>
        <v>-0.82323377745470361</v>
      </c>
      <c r="L76">
        <f t="shared" si="37"/>
        <v>1.1912371002425857E-3</v>
      </c>
      <c r="M76">
        <f t="shared" si="38"/>
        <v>-408.63965108275653</v>
      </c>
      <c r="N76">
        <f t="shared" si="39"/>
        <v>173.99268236316775</v>
      </c>
      <c r="O76">
        <f t="shared" si="40"/>
        <v>-168.92688295500361</v>
      </c>
      <c r="Q76" s="11">
        <v>1</v>
      </c>
      <c r="R76" s="11">
        <f t="shared" si="25"/>
        <v>-0.51733246284749013</v>
      </c>
      <c r="S76" s="11">
        <f t="shared" si="26"/>
        <v>-0.50809803652438212</v>
      </c>
      <c r="T76" s="11">
        <f t="shared" si="41"/>
        <v>-9.616477991945474E-2</v>
      </c>
      <c r="U76" s="11">
        <f t="shared" si="42"/>
        <v>-24.112289916398719</v>
      </c>
      <c r="V76" s="11">
        <f t="shared" si="43"/>
        <v>-237.58037208184066</v>
      </c>
      <c r="W76" s="11">
        <f t="shared" si="44"/>
        <v>1395.6571159012933</v>
      </c>
      <c r="X76" s="11">
        <f t="shared" si="45"/>
        <v>-1380.7175269914769</v>
      </c>
      <c r="Y76" s="11">
        <f t="shared" si="27"/>
        <v>14.939588909816393</v>
      </c>
      <c r="AC76" s="3">
        <f t="shared" si="28"/>
        <v>0</v>
      </c>
      <c r="AD76" s="3">
        <f t="shared" si="29"/>
        <v>0</v>
      </c>
      <c r="AE76" s="3">
        <f t="shared" si="30"/>
        <v>12.420592956810282</v>
      </c>
      <c r="AF76" s="3">
        <f t="shared" si="31"/>
        <v>-37.579998028404958</v>
      </c>
      <c r="AG76" s="3">
        <f t="shared" si="32"/>
        <v>101.81666793762943</v>
      </c>
    </row>
    <row r="77" spans="1:33">
      <c r="A77" s="5">
        <v>43927</v>
      </c>
      <c r="B77" s="28">
        <v>2644.5</v>
      </c>
      <c r="C77" s="30">
        <v>130.75</v>
      </c>
      <c r="D77" s="29">
        <v>36.832711500000002</v>
      </c>
      <c r="E77">
        <f t="shared" si="33"/>
        <v>6.575342465753424E-2</v>
      </c>
      <c r="F77">
        <f t="shared" si="34"/>
        <v>8.21917808219178E-3</v>
      </c>
      <c r="G77">
        <f t="shared" si="35"/>
        <v>-0.18410022857329161</v>
      </c>
      <c r="H77">
        <f t="shared" si="22"/>
        <v>-0.27854825338220485</v>
      </c>
      <c r="I77" s="1">
        <f t="shared" si="23"/>
        <v>0.5730325864157062</v>
      </c>
      <c r="J77" s="1">
        <f t="shared" si="24"/>
        <v>0.60970423541223584</v>
      </c>
      <c r="K77">
        <f t="shared" si="36"/>
        <v>-0.57216286554378315</v>
      </c>
      <c r="L77">
        <f t="shared" si="37"/>
        <v>1.5680294472606431E-3</v>
      </c>
      <c r="M77">
        <f t="shared" si="38"/>
        <v>-767.76622078543858</v>
      </c>
      <c r="N77">
        <f t="shared" si="39"/>
        <v>265.57881310755926</v>
      </c>
      <c r="O77">
        <f t="shared" si="40"/>
        <v>-108.1957061706848</v>
      </c>
      <c r="Q77" s="11">
        <v>1</v>
      </c>
      <c r="R77" s="11">
        <f t="shared" si="25"/>
        <v>-0.70664524041960597</v>
      </c>
      <c r="S77" s="11">
        <f t="shared" si="26"/>
        <v>-0.65066385320103548</v>
      </c>
      <c r="T77" s="11">
        <f t="shared" si="41"/>
        <v>-0.23953120883924822</v>
      </c>
      <c r="U77" s="11">
        <f t="shared" si="42"/>
        <v>24.752645667554145</v>
      </c>
      <c r="V77" s="11">
        <f t="shared" si="43"/>
        <v>377.01530220140978</v>
      </c>
      <c r="W77" s="11">
        <f t="shared" si="44"/>
        <v>1797.2623914119768</v>
      </c>
      <c r="X77" s="11">
        <f t="shared" si="45"/>
        <v>-1795.5744249750019</v>
      </c>
      <c r="Y77" s="11">
        <f t="shared" si="27"/>
        <v>1.6879664369748753</v>
      </c>
      <c r="AC77" s="3">
        <f t="shared" si="28"/>
        <v>0</v>
      </c>
      <c r="AD77" s="3">
        <f t="shared" si="29"/>
        <v>0</v>
      </c>
      <c r="AE77" s="3">
        <f t="shared" si="30"/>
        <v>25.983280868846947</v>
      </c>
      <c r="AF77" s="3">
        <f t="shared" si="31"/>
        <v>-127.76790014818459</v>
      </c>
      <c r="AG77" s="3">
        <f t="shared" si="32"/>
        <v>116.65248465135971</v>
      </c>
    </row>
    <row r="78" spans="1:33">
      <c r="A78" s="5">
        <v>43928</v>
      </c>
      <c r="B78" s="28">
        <v>2642</v>
      </c>
      <c r="C78" s="30">
        <v>136.75</v>
      </c>
      <c r="D78" s="29">
        <v>39.380715100000003</v>
      </c>
      <c r="E78">
        <f t="shared" si="33"/>
        <v>6.3013698630136991E-2</v>
      </c>
      <c r="F78">
        <f t="shared" si="34"/>
        <v>2.7397260273972603E-3</v>
      </c>
      <c r="G78">
        <f t="shared" si="35"/>
        <v>-0.18069577235312284</v>
      </c>
      <c r="H78">
        <f t="shared" si="22"/>
        <v>-0.27955132852780296</v>
      </c>
      <c r="I78" s="1">
        <f t="shared" si="23"/>
        <v>0.57169681133109185</v>
      </c>
      <c r="J78" s="1">
        <f t="shared" si="24"/>
        <v>0.61008912355015554</v>
      </c>
      <c r="K78">
        <f t="shared" si="36"/>
        <v>-0.57086524542209405</v>
      </c>
      <c r="L78">
        <f t="shared" si="37"/>
        <v>1.5005619720649425E-3</v>
      </c>
      <c r="M78">
        <f t="shared" si="38"/>
        <v>-835.99653041835643</v>
      </c>
      <c r="N78">
        <f t="shared" si="39"/>
        <v>259.91906277658632</v>
      </c>
      <c r="O78">
        <f t="shared" si="40"/>
        <v>-103.75491113712036</v>
      </c>
      <c r="Q78" s="11">
        <v>1</v>
      </c>
      <c r="R78" s="11">
        <f t="shared" si="25"/>
        <v>-0.72155460877206512</v>
      </c>
      <c r="S78" s="11">
        <f t="shared" si="26"/>
        <v>-0.66544182758148329</v>
      </c>
      <c r="T78" s="11">
        <f t="shared" si="41"/>
        <v>-0.10890131158379134</v>
      </c>
      <c r="U78" s="11">
        <f t="shared" si="42"/>
        <v>2.0388561221987889</v>
      </c>
      <c r="V78" s="11">
        <f t="shared" si="43"/>
        <v>39.043408313143118</v>
      </c>
      <c r="W78" s="11">
        <f t="shared" si="44"/>
        <v>1838.2687456824265</v>
      </c>
      <c r="X78" s="11">
        <f t="shared" si="45"/>
        <v>-1836.2699012198589</v>
      </c>
      <c r="Y78" s="11">
        <f t="shared" si="27"/>
        <v>1.9988444625676038</v>
      </c>
      <c r="AC78" s="3">
        <f t="shared" si="28"/>
        <v>0</v>
      </c>
      <c r="AD78" s="3">
        <f t="shared" si="29"/>
        <v>0</v>
      </c>
      <c r="AE78" s="3">
        <f t="shared" si="30"/>
        <v>24.626417651844491</v>
      </c>
      <c r="AF78" s="3">
        <f t="shared" si="31"/>
        <v>-135.55954600009068</v>
      </c>
      <c r="AG78" s="3">
        <f t="shared" si="32"/>
        <v>114.35379279581578</v>
      </c>
    </row>
    <row r="79" spans="1:33">
      <c r="A79" s="5">
        <v>43929</v>
      </c>
      <c r="B79" s="28">
        <v>2735</v>
      </c>
      <c r="C79" s="30">
        <v>90.25</v>
      </c>
      <c r="D79" s="29">
        <v>40.175077700000003</v>
      </c>
      <c r="E79">
        <f t="shared" si="33"/>
        <v>6.0273972602739728E-2</v>
      </c>
      <c r="F79">
        <f t="shared" si="34"/>
        <v>2.7397260273972603E-3</v>
      </c>
      <c r="G79">
        <f t="shared" si="35"/>
        <v>0.16987634882812197</v>
      </c>
      <c r="H79">
        <f t="shared" si="22"/>
        <v>7.1243487177574102E-2</v>
      </c>
      <c r="I79" s="1">
        <f t="shared" si="23"/>
        <v>0.43255369082783918</v>
      </c>
      <c r="J79" s="1">
        <f t="shared" si="24"/>
        <v>0.47160198578107804</v>
      </c>
      <c r="K79">
        <f t="shared" si="36"/>
        <v>-0.43195185295609112</v>
      </c>
      <c r="L79">
        <f t="shared" si="37"/>
        <v>1.4556601450227641E-3</v>
      </c>
      <c r="M79">
        <f t="shared" si="38"/>
        <v>-897.49760548364191</v>
      </c>
      <c r="N79">
        <f t="shared" si="39"/>
        <v>263.67028860857999</v>
      </c>
      <c r="O79">
        <f t="shared" si="40"/>
        <v>-76.717390488808419</v>
      </c>
      <c r="Q79" s="11">
        <v>1</v>
      </c>
      <c r="R79" s="11">
        <f t="shared" si="25"/>
        <v>-0.8546234379748191</v>
      </c>
      <c r="S79" s="11">
        <f t="shared" si="26"/>
        <v>-0.72746437333481673</v>
      </c>
      <c r="T79" s="11">
        <f t="shared" si="41"/>
        <v>-0.1112694054076475</v>
      </c>
      <c r="U79" s="11">
        <f t="shared" si="42"/>
        <v>12.009461835548546</v>
      </c>
      <c r="V79" s="11">
        <f t="shared" si="43"/>
        <v>169.63166263536695</v>
      </c>
      <c r="W79" s="11">
        <f t="shared" si="44"/>
        <v>2019.8323446209145</v>
      </c>
      <c r="X79" s="11">
        <f t="shared" si="45"/>
        <v>-2025.9948263479509</v>
      </c>
      <c r="Y79" s="11">
        <f t="shared" si="27"/>
        <v>-6.1624817270364929</v>
      </c>
      <c r="AC79" s="3">
        <f t="shared" si="28"/>
        <v>0</v>
      </c>
      <c r="AD79" s="3">
        <f t="shared" si="29"/>
        <v>0</v>
      </c>
      <c r="AE79" s="3">
        <f t="shared" si="30"/>
        <v>25.230020524258862</v>
      </c>
      <c r="AF79" s="3">
        <f t="shared" si="31"/>
        <v>-145.0154517227644</v>
      </c>
      <c r="AG79" s="3">
        <f t="shared" si="32"/>
        <v>120.42745262725268</v>
      </c>
    </row>
    <row r="80" spans="1:33">
      <c r="A80" s="5">
        <v>43930</v>
      </c>
      <c r="B80" s="28">
        <v>2779.75</v>
      </c>
      <c r="C80" s="30">
        <v>73</v>
      </c>
      <c r="D80" s="29">
        <v>41.3150841</v>
      </c>
      <c r="E80">
        <f>($D$44-A80)/365</f>
        <v>5.7534246575342465E-2</v>
      </c>
      <c r="F80">
        <f t="shared" si="34"/>
        <v>2.7397260273972603E-3</v>
      </c>
      <c r="G80">
        <f t="shared" si="35"/>
        <v>0.33376551197482296</v>
      </c>
      <c r="H80">
        <f t="shared" si="22"/>
        <v>0.23466592230149314</v>
      </c>
      <c r="I80" s="1">
        <f t="shared" si="23"/>
        <v>0.36927825496344868</v>
      </c>
      <c r="J80" s="1">
        <f t="shared" si="24"/>
        <v>0.40723401962953287</v>
      </c>
      <c r="K80">
        <f t="shared" si="36"/>
        <v>-0.36878779497971437</v>
      </c>
      <c r="L80">
        <f t="shared" si="37"/>
        <v>1.367934174233892E-3</v>
      </c>
      <c r="M80">
        <f t="shared" si="38"/>
        <v>-918.43593898114455</v>
      </c>
      <c r="N80">
        <f t="shared" si="39"/>
        <v>251.25328498660173</v>
      </c>
      <c r="O80">
        <f t="shared" si="40"/>
        <v>-63.236355733283993</v>
      </c>
      <c r="Q80" s="11">
        <v>1</v>
      </c>
      <c r="R80" s="11">
        <f t="shared" si="25"/>
        <v>-0.93896858329473676</v>
      </c>
      <c r="S80" s="11">
        <f t="shared" si="26"/>
        <v>-0.76054847419258431</v>
      </c>
      <c r="T80" s="11">
        <f t="shared" si="41"/>
        <v>-0.12592208848102121</v>
      </c>
      <c r="U80" s="11">
        <f t="shared" si="42"/>
        <v>6.1571956083539892</v>
      </c>
      <c r="V80" s="11">
        <f t="shared" si="43"/>
        <v>91.965529359379445</v>
      </c>
      <c r="W80" s="11">
        <f t="shared" si="44"/>
        <v>2117.8662242150044</v>
      </c>
      <c r="X80" s="11">
        <f t="shared" si="45"/>
        <v>-2125.179327717352</v>
      </c>
      <c r="Y80" s="11">
        <f t="shared" si="27"/>
        <v>-7.3131035023475306</v>
      </c>
      <c r="AC80" s="3">
        <f t="shared" si="28"/>
        <v>0</v>
      </c>
      <c r="AD80" s="3">
        <f t="shared" si="29"/>
        <v>0</v>
      </c>
      <c r="AE80" s="3">
        <f t="shared" si="30"/>
        <v>23.647632131136845</v>
      </c>
      <c r="AF80" s="3">
        <f t="shared" si="31"/>
        <v>-143.54399231811919</v>
      </c>
      <c r="AG80" s="3">
        <f t="shared" si="32"/>
        <v>120.65440045055988</v>
      </c>
    </row>
  </sheetData>
  <mergeCells count="8">
    <mergeCell ref="Q11:R11"/>
    <mergeCell ref="Q55:S55"/>
    <mergeCell ref="AC54:AG54"/>
    <mergeCell ref="AC10:AG10"/>
    <mergeCell ref="C55:D55"/>
    <mergeCell ref="G55:O55"/>
    <mergeCell ref="C11:D11"/>
    <mergeCell ref="G11:O11"/>
  </mergeCells>
  <pageMargins left="0.7" right="0.7" top="0.75" bottom="0.75" header="0.3" footer="0.3"/>
  <pageSetup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71F67-78C8-D747-AFE9-B5E712BABC45}">
  <sheetPr codeName="Sheet4"/>
  <dimension ref="A4:R32"/>
  <sheetViews>
    <sheetView zoomScale="75" workbookViewId="0">
      <selection activeCell="O58" sqref="O58"/>
    </sheetView>
  </sheetViews>
  <sheetFormatPr baseColWidth="10" defaultRowHeight="16"/>
  <sheetData>
    <row r="4" spans="1:18">
      <c r="A4" t="s">
        <v>63</v>
      </c>
      <c r="G4" t="s">
        <v>70</v>
      </c>
      <c r="N4" t="s">
        <v>71</v>
      </c>
    </row>
    <row r="6" spans="1:18">
      <c r="A6" s="46" t="s">
        <v>54</v>
      </c>
      <c r="B6" s="46"/>
      <c r="C6" s="46"/>
      <c r="D6" s="46"/>
      <c r="E6" s="46"/>
      <c r="G6" s="46" t="s">
        <v>54</v>
      </c>
      <c r="H6" s="46"/>
      <c r="I6" s="46"/>
      <c r="J6" s="46"/>
      <c r="K6" s="46"/>
      <c r="M6" s="46" t="s">
        <v>54</v>
      </c>
      <c r="N6" s="46"/>
      <c r="O6" s="46"/>
      <c r="P6" s="46"/>
      <c r="Q6" s="46"/>
    </row>
    <row r="7" spans="1:18">
      <c r="A7" s="3"/>
      <c r="B7" s="3"/>
      <c r="C7" s="3"/>
      <c r="D7" s="3"/>
      <c r="E7" s="3"/>
      <c r="G7" s="3"/>
      <c r="H7" s="3"/>
      <c r="I7" s="3"/>
      <c r="J7" s="3"/>
      <c r="K7" s="3"/>
      <c r="M7" s="3"/>
      <c r="N7" s="3"/>
      <c r="O7" s="3"/>
      <c r="P7" s="3"/>
      <c r="Q7" s="3"/>
    </row>
    <row r="8" spans="1:18">
      <c r="A8" s="3" t="s">
        <v>4</v>
      </c>
      <c r="B8" s="3" t="s">
        <v>7</v>
      </c>
      <c r="C8" s="3" t="s">
        <v>73</v>
      </c>
      <c r="D8" s="3" t="s">
        <v>74</v>
      </c>
      <c r="E8" s="3" t="s">
        <v>77</v>
      </c>
      <c r="F8" s="12" t="s">
        <v>27</v>
      </c>
      <c r="G8" s="3" t="s">
        <v>4</v>
      </c>
      <c r="H8" s="3" t="s">
        <v>7</v>
      </c>
      <c r="I8" s="3" t="s">
        <v>75</v>
      </c>
      <c r="J8" s="3" t="s">
        <v>76</v>
      </c>
      <c r="K8" s="3" t="s">
        <v>78</v>
      </c>
      <c r="L8" s="19" t="s">
        <v>72</v>
      </c>
      <c r="M8" s="3" t="s">
        <v>4</v>
      </c>
      <c r="N8" s="3" t="s">
        <v>7</v>
      </c>
      <c r="O8" s="3" t="s">
        <v>5</v>
      </c>
      <c r="P8" s="3" t="s">
        <v>48</v>
      </c>
      <c r="Q8" s="3" t="s">
        <v>6</v>
      </c>
      <c r="R8" s="19" t="s">
        <v>27</v>
      </c>
    </row>
    <row r="9" spans="1:18">
      <c r="A9" s="3">
        <v>0</v>
      </c>
      <c r="B9" s="3">
        <v>0</v>
      </c>
      <c r="C9" s="3">
        <v>-0.182424422</v>
      </c>
      <c r="D9" s="3">
        <v>37.245474119999997</v>
      </c>
      <c r="E9" s="3">
        <v>317.79685499999999</v>
      </c>
      <c r="F9" s="11">
        <v>0</v>
      </c>
      <c r="G9" s="3">
        <v>0</v>
      </c>
      <c r="H9" s="3">
        <v>0</v>
      </c>
      <c r="I9" s="3">
        <v>83.983905429999993</v>
      </c>
      <c r="J9" s="3">
        <v>-217.20546870000001</v>
      </c>
      <c r="K9" s="3">
        <v>412.74667699999998</v>
      </c>
      <c r="L9" s="18">
        <v>0</v>
      </c>
      <c r="M9" s="3">
        <v>0</v>
      </c>
      <c r="N9" s="3">
        <v>0</v>
      </c>
      <c r="O9" s="3">
        <v>19.80533325</v>
      </c>
      <c r="P9" s="3">
        <v>-29.121162349999999</v>
      </c>
      <c r="Q9" s="3">
        <v>335.50444800000002</v>
      </c>
      <c r="R9" s="18">
        <v>0</v>
      </c>
    </row>
    <row r="10" spans="1:18">
      <c r="A10" s="3">
        <v>0</v>
      </c>
      <c r="B10" s="3">
        <v>0</v>
      </c>
      <c r="C10" s="3">
        <v>0.13087179400000001</v>
      </c>
      <c r="D10" s="3">
        <v>39.990898799999997</v>
      </c>
      <c r="E10" s="3">
        <v>327.53528899999998</v>
      </c>
      <c r="F10" s="11">
        <v>-2.6528928947041095</v>
      </c>
      <c r="G10" s="3">
        <v>0</v>
      </c>
      <c r="H10" s="3">
        <v>0</v>
      </c>
      <c r="I10" s="3">
        <v>94.963294910000002</v>
      </c>
      <c r="J10" s="3">
        <v>-244.56576459999999</v>
      </c>
      <c r="K10" s="3">
        <v>384.18830800000001</v>
      </c>
      <c r="L10" s="18">
        <v>-1.862640793</v>
      </c>
      <c r="M10" s="3">
        <v>0</v>
      </c>
      <c r="N10" s="3">
        <v>0</v>
      </c>
      <c r="O10" s="3">
        <v>22.12154911</v>
      </c>
      <c r="P10" s="3">
        <v>-32.653111940000002</v>
      </c>
      <c r="Q10" s="3">
        <v>339.31890399999997</v>
      </c>
      <c r="R10" s="18">
        <v>-2.6466153540000001</v>
      </c>
    </row>
    <row r="11" spans="1:18">
      <c r="A11" s="3">
        <v>0</v>
      </c>
      <c r="B11" s="3">
        <v>0</v>
      </c>
      <c r="C11" s="3">
        <v>-0.20780333300000001</v>
      </c>
      <c r="D11" s="3">
        <v>37.080165289999997</v>
      </c>
      <c r="E11" s="3">
        <v>303.605842</v>
      </c>
      <c r="F11" s="11">
        <v>-3.4775025527283105</v>
      </c>
      <c r="G11" s="3">
        <v>0</v>
      </c>
      <c r="H11" s="3">
        <v>0</v>
      </c>
      <c r="I11" s="3">
        <v>88.217485400000001</v>
      </c>
      <c r="J11" s="3">
        <v>-241.98409839999999</v>
      </c>
      <c r="K11" s="3">
        <v>396.10523899999998</v>
      </c>
      <c r="L11" s="18">
        <v>1.1656287510000001</v>
      </c>
      <c r="M11" s="3">
        <v>0</v>
      </c>
      <c r="N11" s="3">
        <v>0</v>
      </c>
      <c r="O11" s="3">
        <v>20.27972493</v>
      </c>
      <c r="P11" s="3">
        <v>-34.431297049999998</v>
      </c>
      <c r="Q11" s="3">
        <v>320.61241200000001</v>
      </c>
      <c r="R11" s="18">
        <v>-2.4509723769999998</v>
      </c>
    </row>
    <row r="12" spans="1:18">
      <c r="A12" s="3">
        <v>0</v>
      </c>
      <c r="B12" s="3">
        <v>0</v>
      </c>
      <c r="C12" s="3">
        <v>0.120431305</v>
      </c>
      <c r="D12" s="3">
        <v>28.609790369999999</v>
      </c>
      <c r="E12" s="3">
        <v>271.55005399999999</v>
      </c>
      <c r="F12" s="11">
        <v>-14.430996431346557</v>
      </c>
      <c r="G12" s="3">
        <v>0</v>
      </c>
      <c r="H12" s="3">
        <v>0</v>
      </c>
      <c r="I12" s="3">
        <v>76.544117679999999</v>
      </c>
      <c r="J12" s="3">
        <v>-253.57422120000001</v>
      </c>
      <c r="K12" s="3">
        <v>460.74919699999998</v>
      </c>
      <c r="L12" s="18">
        <v>20.610013670000001</v>
      </c>
      <c r="M12" s="3">
        <v>0</v>
      </c>
      <c r="N12" s="3">
        <v>0</v>
      </c>
      <c r="O12" s="3">
        <v>17.79378414</v>
      </c>
      <c r="P12" s="3">
        <v>-45.793623099999998</v>
      </c>
      <c r="Q12" s="3">
        <v>298.55370099999999</v>
      </c>
      <c r="R12" s="18">
        <v>-4.1721966869999996</v>
      </c>
    </row>
    <row r="13" spans="1:18">
      <c r="A13" s="3">
        <v>0</v>
      </c>
      <c r="B13" s="3">
        <v>0</v>
      </c>
      <c r="C13" s="3">
        <v>-0.29499144799999999</v>
      </c>
      <c r="D13" s="3">
        <v>36.283651769999999</v>
      </c>
      <c r="E13" s="3">
        <v>287.16383999999999</v>
      </c>
      <c r="F13" s="11">
        <v>-26.867276433319603</v>
      </c>
      <c r="G13" s="3">
        <v>0</v>
      </c>
      <c r="H13" s="3">
        <v>0</v>
      </c>
      <c r="I13" s="3">
        <v>112.79421170000001</v>
      </c>
      <c r="J13" s="3">
        <v>-341.71536750000001</v>
      </c>
      <c r="K13" s="3">
        <v>379.29138399999999</v>
      </c>
      <c r="L13" s="18">
        <v>10.21154887</v>
      </c>
      <c r="M13" s="3">
        <v>0</v>
      </c>
      <c r="N13" s="3">
        <v>0</v>
      </c>
      <c r="O13" s="3">
        <v>23.272633620000001</v>
      </c>
      <c r="P13" s="3">
        <v>-54.181379790000001</v>
      </c>
      <c r="Q13" s="3">
        <v>302.92942699999998</v>
      </c>
      <c r="R13" s="18">
        <v>-17.299180339999999</v>
      </c>
    </row>
    <row r="14" spans="1:18">
      <c r="A14" s="3">
        <v>0</v>
      </c>
      <c r="B14" s="3">
        <v>0</v>
      </c>
      <c r="C14" s="3">
        <v>5.7117792000000001E-2</v>
      </c>
      <c r="D14" s="3">
        <v>28.123213669999998</v>
      </c>
      <c r="E14" s="3">
        <v>250.11436699999999</v>
      </c>
      <c r="F14" s="11">
        <v>-30.858708331545131</v>
      </c>
      <c r="G14" s="3">
        <v>0</v>
      </c>
      <c r="H14" s="3">
        <v>0</v>
      </c>
      <c r="I14" s="3">
        <v>72.562760389999994</v>
      </c>
      <c r="J14" s="3">
        <v>-296.23013709999998</v>
      </c>
      <c r="K14" s="3">
        <v>433.11845699999998</v>
      </c>
      <c r="L14" s="18">
        <v>37.222391739999999</v>
      </c>
      <c r="M14" s="3">
        <v>0</v>
      </c>
      <c r="N14" s="3">
        <v>0</v>
      </c>
      <c r="O14" s="3">
        <v>18.139408700000001</v>
      </c>
      <c r="P14" s="3">
        <v>-64.28299355</v>
      </c>
      <c r="Q14" s="3">
        <v>274.88227699999999</v>
      </c>
      <c r="R14" s="18">
        <v>-11.20539308</v>
      </c>
    </row>
    <row r="15" spans="1:18">
      <c r="A15" s="3">
        <v>0</v>
      </c>
      <c r="B15" s="3">
        <v>0</v>
      </c>
      <c r="C15" s="3">
        <v>-0.16160342899999999</v>
      </c>
      <c r="D15" s="3">
        <v>30.88927632</v>
      </c>
      <c r="E15" s="3">
        <v>247.58677499999999</v>
      </c>
      <c r="F15" s="11">
        <v>-33.442198111227754</v>
      </c>
      <c r="G15" s="3">
        <v>0</v>
      </c>
      <c r="H15" s="3">
        <v>0</v>
      </c>
      <c r="I15" s="3">
        <v>76.184011889999994</v>
      </c>
      <c r="J15" s="3">
        <v>-302.56917720000001</v>
      </c>
      <c r="K15" s="3">
        <v>400.71571399999999</v>
      </c>
      <c r="L15" s="18">
        <v>28.913810420000001</v>
      </c>
      <c r="M15" s="3">
        <v>0</v>
      </c>
      <c r="N15" s="3">
        <v>0</v>
      </c>
      <c r="O15" s="3">
        <v>20.908235300000001</v>
      </c>
      <c r="P15" s="3">
        <v>-73.402937030000004</v>
      </c>
      <c r="Q15" s="3">
        <v>268.417013</v>
      </c>
      <c r="R15" s="18">
        <v>-14.161932370000001</v>
      </c>
    </row>
    <row r="16" spans="1:18">
      <c r="A16" s="3">
        <v>0</v>
      </c>
      <c r="B16" s="3">
        <v>0</v>
      </c>
      <c r="C16" s="3">
        <v>-0.25411981099999997</v>
      </c>
      <c r="D16" s="3">
        <v>28.557379489999999</v>
      </c>
      <c r="E16" s="3">
        <v>228.71678299999999</v>
      </c>
      <c r="F16" s="11">
        <v>-29.784132100591478</v>
      </c>
      <c r="G16" s="3">
        <v>0</v>
      </c>
      <c r="H16" s="3">
        <v>0</v>
      </c>
      <c r="I16" s="3">
        <v>67.389374619999998</v>
      </c>
      <c r="J16" s="3">
        <v>-264.26391539999997</v>
      </c>
      <c r="K16" s="3">
        <v>446.96991200000002</v>
      </c>
      <c r="L16" s="18">
        <v>32.097247629999998</v>
      </c>
      <c r="M16" s="3">
        <v>0</v>
      </c>
      <c r="N16" s="3">
        <v>0</v>
      </c>
      <c r="O16" s="3">
        <v>19.300932039999999</v>
      </c>
      <c r="P16" s="3">
        <v>-69.339689289999995</v>
      </c>
      <c r="Q16" s="3">
        <v>254.963256</v>
      </c>
      <c r="R16" s="18">
        <v>-10.017467809999999</v>
      </c>
    </row>
    <row r="17" spans="1:18">
      <c r="A17" s="3">
        <v>0</v>
      </c>
      <c r="B17" s="3">
        <v>0</v>
      </c>
      <c r="C17" s="3">
        <v>5.6576359999999999E-2</v>
      </c>
      <c r="D17" s="3">
        <v>24.380251019999999</v>
      </c>
      <c r="E17" s="3">
        <v>203.07905400000001</v>
      </c>
      <c r="F17" s="11">
        <v>-20.345365406640667</v>
      </c>
      <c r="G17" s="3">
        <v>0</v>
      </c>
      <c r="H17" s="3">
        <v>0</v>
      </c>
      <c r="I17" s="3">
        <v>53.464096159999997</v>
      </c>
      <c r="J17" s="3">
        <v>-174.06583560000001</v>
      </c>
      <c r="K17" s="3">
        <v>498.93381199999999</v>
      </c>
      <c r="L17" s="18">
        <v>29.112308840000001</v>
      </c>
      <c r="M17" s="3">
        <v>0</v>
      </c>
      <c r="N17" s="3">
        <v>0</v>
      </c>
      <c r="O17" s="3">
        <v>18.529778279999999</v>
      </c>
      <c r="P17" s="3">
        <v>-57.926309000000003</v>
      </c>
      <c r="Q17" s="3">
        <v>235.66305</v>
      </c>
      <c r="R17" s="18">
        <v>-3.0233348100000002</v>
      </c>
    </row>
    <row r="18" spans="1:18">
      <c r="A18" s="3">
        <v>0</v>
      </c>
      <c r="B18" s="3">
        <v>0</v>
      </c>
      <c r="C18" s="3">
        <v>-0.32436322499999998</v>
      </c>
      <c r="D18" s="3">
        <v>17.424641269999999</v>
      </c>
      <c r="E18" s="3">
        <v>136.23404300000001</v>
      </c>
      <c r="F18" s="11">
        <v>1.8430223284221938</v>
      </c>
      <c r="G18" s="3">
        <v>0</v>
      </c>
      <c r="H18" s="3">
        <v>0</v>
      </c>
      <c r="I18" s="3">
        <v>6.859290154</v>
      </c>
      <c r="J18" s="3">
        <v>26.582419850000001</v>
      </c>
      <c r="K18" s="3">
        <v>528.19151099999999</v>
      </c>
      <c r="L18" s="18">
        <v>31.40339547</v>
      </c>
      <c r="M18" s="3">
        <v>0</v>
      </c>
      <c r="N18" s="3">
        <v>0</v>
      </c>
      <c r="O18" s="3">
        <v>6.5559503330000002</v>
      </c>
      <c r="P18" s="3">
        <v>-3.5094203450000001</v>
      </c>
      <c r="Q18" s="3">
        <v>189.76635999999999</v>
      </c>
      <c r="R18" s="18">
        <v>12.49033152</v>
      </c>
    </row>
    <row r="19" spans="1:18">
      <c r="A19" s="3">
        <v>0</v>
      </c>
      <c r="B19" s="3">
        <v>0</v>
      </c>
      <c r="C19" s="3">
        <v>-0.29051126700000002</v>
      </c>
      <c r="D19" s="3">
        <v>13.446066</v>
      </c>
      <c r="E19" s="3">
        <v>99.460626599999998</v>
      </c>
      <c r="F19" s="11">
        <v>6.3283671341126819</v>
      </c>
      <c r="G19" s="3">
        <v>0</v>
      </c>
      <c r="H19" s="3">
        <v>0</v>
      </c>
      <c r="I19" s="3">
        <v>-2.8722992629999999</v>
      </c>
      <c r="J19" s="3">
        <v>53.631623779999998</v>
      </c>
      <c r="K19" s="3">
        <v>404.70266600000002</v>
      </c>
      <c r="L19" s="18">
        <v>31.619979860000001</v>
      </c>
      <c r="M19" s="3">
        <v>0</v>
      </c>
      <c r="N19" s="3">
        <v>0</v>
      </c>
      <c r="O19" s="3">
        <v>0.57219044799999996</v>
      </c>
      <c r="P19" s="3">
        <v>14.973507959999999</v>
      </c>
      <c r="Q19" s="3">
        <v>147.920613</v>
      </c>
      <c r="R19" s="18">
        <v>14.95740709</v>
      </c>
    </row>
    <row r="20" spans="1:18">
      <c r="A20" s="3">
        <v>0</v>
      </c>
      <c r="B20" s="3">
        <v>0</v>
      </c>
      <c r="C20" s="3">
        <v>0.15039624200000001</v>
      </c>
      <c r="D20" s="3">
        <v>21.936775730000001</v>
      </c>
      <c r="E20" s="3">
        <v>159.45405</v>
      </c>
      <c r="F20" s="11">
        <v>4.8602297079678465</v>
      </c>
      <c r="G20" s="3">
        <v>0</v>
      </c>
      <c r="H20" s="3">
        <v>0</v>
      </c>
      <c r="I20" s="3">
        <v>15.21077536</v>
      </c>
      <c r="J20" s="3">
        <v>-20.766295960000001</v>
      </c>
      <c r="K20" s="3">
        <v>398.827045</v>
      </c>
      <c r="L20" s="18">
        <v>35.682223309999998</v>
      </c>
      <c r="M20" s="3">
        <v>0</v>
      </c>
      <c r="N20" s="3">
        <v>0</v>
      </c>
      <c r="O20" s="3">
        <v>7.1315259170000003</v>
      </c>
      <c r="P20" s="3">
        <v>-6.7887571790000001</v>
      </c>
      <c r="Q20" s="3">
        <v>194.188367</v>
      </c>
      <c r="R20" s="18">
        <v>13.29323338</v>
      </c>
    </row>
    <row r="21" spans="1:18">
      <c r="A21" s="3">
        <v>0</v>
      </c>
      <c r="B21" s="3">
        <v>0</v>
      </c>
      <c r="C21" s="3">
        <v>-0.15573316500000001</v>
      </c>
      <c r="D21" s="3">
        <v>25.745981960000002</v>
      </c>
      <c r="E21" s="3">
        <v>168.51950400000001</v>
      </c>
      <c r="F21" s="11">
        <v>-3.055260753189259</v>
      </c>
      <c r="G21" s="3">
        <v>0</v>
      </c>
      <c r="H21" s="3">
        <v>0</v>
      </c>
      <c r="I21" s="3">
        <v>37.538136170000001</v>
      </c>
      <c r="J21" s="3">
        <v>-129.95692650000001</v>
      </c>
      <c r="K21" s="3">
        <v>393.17657600000001</v>
      </c>
      <c r="L21" s="18">
        <v>37.861707109999998</v>
      </c>
      <c r="M21" s="3">
        <v>0</v>
      </c>
      <c r="N21" s="3">
        <v>0</v>
      </c>
      <c r="O21" s="3">
        <v>16.6267745</v>
      </c>
      <c r="P21" s="3">
        <v>-56.156356170000002</v>
      </c>
      <c r="Q21" s="3">
        <v>195.88497699999999</v>
      </c>
      <c r="R21" s="18">
        <v>9.8378618640000006</v>
      </c>
    </row>
    <row r="22" spans="1:18">
      <c r="A22" s="3">
        <v>0</v>
      </c>
      <c r="B22" s="3">
        <v>0</v>
      </c>
      <c r="C22" s="3">
        <v>1.1063122E-2</v>
      </c>
      <c r="D22" s="3">
        <v>30.251247790000001</v>
      </c>
      <c r="E22" s="3">
        <v>186.61403100000001</v>
      </c>
      <c r="F22" s="11">
        <v>-16.045779695053398</v>
      </c>
      <c r="G22" s="3">
        <v>0</v>
      </c>
      <c r="H22" s="3">
        <v>0</v>
      </c>
      <c r="I22" s="3">
        <v>74.018147839999997</v>
      </c>
      <c r="J22" s="3">
        <v>-302.9303893</v>
      </c>
      <c r="K22" s="3">
        <v>327.90709700000002</v>
      </c>
      <c r="L22" s="18">
        <v>36.572231979999998</v>
      </c>
      <c r="M22" s="3">
        <v>0</v>
      </c>
      <c r="N22" s="3">
        <v>0</v>
      </c>
      <c r="O22" s="3">
        <v>22.227590169999999</v>
      </c>
      <c r="P22" s="3">
        <v>-84.161897010000004</v>
      </c>
      <c r="Q22" s="3">
        <v>203.20860400000001</v>
      </c>
      <c r="R22" s="18">
        <v>-3.3174286469999998</v>
      </c>
    </row>
    <row r="23" spans="1:18">
      <c r="A23" s="3">
        <v>0</v>
      </c>
      <c r="B23" s="3">
        <v>0</v>
      </c>
      <c r="C23" s="3">
        <v>-8.8755047000000004E-2</v>
      </c>
      <c r="D23" s="3">
        <v>27.688794720000001</v>
      </c>
      <c r="E23" s="3">
        <v>168.87502699999999</v>
      </c>
      <c r="F23" s="11">
        <v>-13.995630693401608</v>
      </c>
      <c r="G23" s="3">
        <v>0</v>
      </c>
      <c r="H23" s="3">
        <v>0</v>
      </c>
      <c r="I23" s="3">
        <v>64.943776889999995</v>
      </c>
      <c r="J23" s="3">
        <v>-270.69330109999999</v>
      </c>
      <c r="K23" s="3">
        <v>370.19861400000002</v>
      </c>
      <c r="L23" s="18">
        <v>40.360968409999998</v>
      </c>
      <c r="M23" s="3">
        <v>0</v>
      </c>
      <c r="N23" s="3">
        <v>0</v>
      </c>
      <c r="O23" s="3">
        <v>20.426849990000001</v>
      </c>
      <c r="P23" s="3">
        <v>-82.829334230000001</v>
      </c>
      <c r="Q23" s="3">
        <v>189.66549599999999</v>
      </c>
      <c r="R23" s="18">
        <v>-7.2012295000000004E-2</v>
      </c>
    </row>
    <row r="24" spans="1:18">
      <c r="A24" s="3">
        <v>0</v>
      </c>
      <c r="B24" s="3">
        <v>0</v>
      </c>
      <c r="C24" s="3">
        <v>1.4013166000000001E-2</v>
      </c>
      <c r="D24" s="3">
        <v>28.656760309999999</v>
      </c>
      <c r="E24" s="3">
        <v>156.25887900000001</v>
      </c>
      <c r="F24" s="11">
        <v>-18.399519605040723</v>
      </c>
      <c r="G24" s="3">
        <v>0</v>
      </c>
      <c r="H24" s="3">
        <v>0</v>
      </c>
      <c r="I24" s="3">
        <v>76.361237759999995</v>
      </c>
      <c r="J24" s="3">
        <v>-326.94044719999999</v>
      </c>
      <c r="K24" s="3">
        <v>321.39557400000001</v>
      </c>
      <c r="L24" s="18">
        <v>33.296863090000002</v>
      </c>
      <c r="M24" s="3">
        <v>0</v>
      </c>
      <c r="N24" s="3">
        <v>0</v>
      </c>
      <c r="O24" s="3">
        <v>23.636031079999999</v>
      </c>
      <c r="P24" s="3">
        <v>-100.80779459999999</v>
      </c>
      <c r="Q24" s="3">
        <v>171.80429799999999</v>
      </c>
      <c r="R24" s="18">
        <v>-5.5529565029999999</v>
      </c>
    </row>
    <row r="25" spans="1:18">
      <c r="A25" s="3">
        <v>0</v>
      </c>
      <c r="B25" s="3">
        <v>0</v>
      </c>
      <c r="C25" s="3">
        <v>-3.4953020000000001E-2</v>
      </c>
      <c r="D25" s="3">
        <v>24.686144500000001</v>
      </c>
      <c r="E25" s="3">
        <v>130.966578</v>
      </c>
      <c r="F25" s="11">
        <v>-12.182416358039063</v>
      </c>
      <c r="G25" s="3">
        <v>0</v>
      </c>
      <c r="H25" s="3">
        <v>0</v>
      </c>
      <c r="I25" s="3">
        <v>69.302149760000006</v>
      </c>
      <c r="J25" s="3">
        <v>-241.37160420000001</v>
      </c>
      <c r="K25" s="3">
        <v>436.58032800000001</v>
      </c>
      <c r="L25" s="18">
        <v>30.976119390000001</v>
      </c>
      <c r="M25" s="3">
        <v>0</v>
      </c>
      <c r="N25" s="3">
        <v>0</v>
      </c>
      <c r="O25" s="3">
        <v>24.34684481</v>
      </c>
      <c r="P25" s="3">
        <v>-96.370032089999995</v>
      </c>
      <c r="Q25" s="3">
        <v>150.355446</v>
      </c>
      <c r="R25" s="18">
        <v>-0.44622011900000003</v>
      </c>
    </row>
    <row r="26" spans="1:18">
      <c r="A26" s="3">
        <v>0</v>
      </c>
      <c r="B26" s="3">
        <v>0</v>
      </c>
      <c r="C26" s="3">
        <v>-0.12503036000000001</v>
      </c>
      <c r="D26" s="3">
        <v>19.565057370000002</v>
      </c>
      <c r="E26" s="3">
        <v>102.965057</v>
      </c>
      <c r="F26" s="11">
        <v>-0.82253321399412016</v>
      </c>
      <c r="G26" s="3">
        <v>0</v>
      </c>
      <c r="H26" s="3">
        <v>0</v>
      </c>
      <c r="I26" s="3">
        <v>30.867676899999999</v>
      </c>
      <c r="J26" s="3">
        <v>-74.857073360000001</v>
      </c>
      <c r="K26" s="3">
        <v>514.64669000000004</v>
      </c>
      <c r="L26" s="18">
        <v>40.540392699999998</v>
      </c>
      <c r="M26" s="3">
        <v>0</v>
      </c>
      <c r="N26" s="3">
        <v>0</v>
      </c>
      <c r="O26" s="3">
        <v>14.6270656</v>
      </c>
      <c r="P26" s="3">
        <v>-55.069376159999997</v>
      </c>
      <c r="Q26" s="3">
        <v>133.47215700000001</v>
      </c>
      <c r="R26" s="18">
        <v>10.80649331</v>
      </c>
    </row>
    <row r="27" spans="1:18">
      <c r="A27" s="3">
        <v>0</v>
      </c>
      <c r="B27" s="3">
        <v>0</v>
      </c>
      <c r="C27" s="3">
        <v>-7.6329907000000002E-2</v>
      </c>
      <c r="D27" s="3">
        <v>20.12582656</v>
      </c>
      <c r="E27" s="3">
        <v>100.45455</v>
      </c>
      <c r="F27" s="11">
        <v>-3.9799364157663604</v>
      </c>
      <c r="G27" s="3">
        <v>0</v>
      </c>
      <c r="H27" s="3">
        <v>0</v>
      </c>
      <c r="I27" s="3">
        <v>37.914710380000002</v>
      </c>
      <c r="J27" s="3">
        <v>-97.014389679999994</v>
      </c>
      <c r="K27" s="3">
        <v>491.74480799999998</v>
      </c>
      <c r="L27" s="18">
        <v>36.78825089</v>
      </c>
      <c r="M27" s="3">
        <v>0</v>
      </c>
      <c r="N27" s="3">
        <v>0</v>
      </c>
      <c r="O27" s="3">
        <v>19.413117230000001</v>
      </c>
      <c r="P27" s="3">
        <v>-74.753979479999998</v>
      </c>
      <c r="Q27" s="3">
        <v>125.58507</v>
      </c>
      <c r="R27" s="18">
        <v>7.7808394979999997</v>
      </c>
    </row>
    <row r="28" spans="1:18">
      <c r="A28" s="3">
        <v>0</v>
      </c>
      <c r="B28" s="3">
        <v>0</v>
      </c>
      <c r="C28" s="3">
        <v>-8.4069394000000006E-2</v>
      </c>
      <c r="D28" s="3">
        <v>14.640867330000001</v>
      </c>
      <c r="E28" s="3">
        <v>70.702857499999993</v>
      </c>
      <c r="F28" s="11">
        <v>5.8930930027529485</v>
      </c>
      <c r="G28" s="3">
        <v>0</v>
      </c>
      <c r="H28" s="3">
        <v>0</v>
      </c>
      <c r="I28" s="3">
        <v>12.890348619999999</v>
      </c>
      <c r="J28" s="3">
        <v>26.824119920000001</v>
      </c>
      <c r="K28" s="3">
        <v>500.38733999999999</v>
      </c>
      <c r="L28" s="18">
        <v>38.027433619999996</v>
      </c>
      <c r="M28" s="3">
        <v>0</v>
      </c>
      <c r="N28" s="3">
        <v>0</v>
      </c>
      <c r="O28" s="3">
        <v>12.42059296</v>
      </c>
      <c r="P28" s="3">
        <v>-37.579998029999999</v>
      </c>
      <c r="Q28" s="3">
        <v>101.81666800000001</v>
      </c>
      <c r="R28" s="18">
        <v>14.939588909999999</v>
      </c>
    </row>
    <row r="29" spans="1:18">
      <c r="A29" s="3">
        <v>0</v>
      </c>
      <c r="B29" s="3">
        <v>0</v>
      </c>
      <c r="C29" s="3">
        <v>0.52983620499999995</v>
      </c>
      <c r="D29" s="3">
        <v>21.721732589999998</v>
      </c>
      <c r="E29" s="3">
        <v>103.81494000000001</v>
      </c>
      <c r="F29" s="11">
        <v>-5.6217170478553271</v>
      </c>
      <c r="G29" s="3">
        <v>0</v>
      </c>
      <c r="H29" s="3">
        <v>0</v>
      </c>
      <c r="I29" s="3">
        <v>67.685926379999998</v>
      </c>
      <c r="J29" s="3">
        <v>-291.9955698</v>
      </c>
      <c r="K29" s="3">
        <v>328.13889899999998</v>
      </c>
      <c r="L29" s="18">
        <v>38.157717959999999</v>
      </c>
      <c r="M29" s="3">
        <v>0</v>
      </c>
      <c r="N29" s="3">
        <v>0</v>
      </c>
      <c r="O29" s="3">
        <v>25.983280870000002</v>
      </c>
      <c r="P29" s="3">
        <v>-127.76790010000001</v>
      </c>
      <c r="Q29" s="3">
        <v>116.652485</v>
      </c>
      <c r="R29" s="18">
        <v>1.687966437</v>
      </c>
    </row>
    <row r="30" spans="1:18">
      <c r="A30" s="3">
        <v>0</v>
      </c>
      <c r="B30" s="3">
        <v>0</v>
      </c>
      <c r="C30" s="3">
        <v>4.1417765000000002E-2</v>
      </c>
      <c r="D30" s="3">
        <v>25.460592590000001</v>
      </c>
      <c r="E30" s="3">
        <v>102.261522</v>
      </c>
      <c r="F30" s="11">
        <v>-5.8601209364660463</v>
      </c>
      <c r="G30" s="3">
        <v>0</v>
      </c>
      <c r="H30" s="3">
        <v>0</v>
      </c>
      <c r="I30" s="3">
        <v>65.704217349999993</v>
      </c>
      <c r="J30" s="3">
        <v>-325.46873040000003</v>
      </c>
      <c r="K30" s="3">
        <v>296.01532099999997</v>
      </c>
      <c r="L30" s="18">
        <v>39.312838569999997</v>
      </c>
      <c r="M30" s="3">
        <v>0</v>
      </c>
      <c r="N30" s="3">
        <v>0</v>
      </c>
      <c r="O30" s="3">
        <v>24.62641765</v>
      </c>
      <c r="P30" s="3">
        <v>-135.55954600000001</v>
      </c>
      <c r="Q30" s="3">
        <v>114.353793</v>
      </c>
      <c r="R30" s="18">
        <v>1.998844463</v>
      </c>
    </row>
    <row r="31" spans="1:18">
      <c r="A31" s="3">
        <v>0</v>
      </c>
      <c r="B31" s="3">
        <v>0</v>
      </c>
      <c r="C31" s="3">
        <v>0.165935271</v>
      </c>
      <c r="D31" s="3">
        <v>29.4480465</v>
      </c>
      <c r="E31" s="3">
        <v>112.45990999999999</v>
      </c>
      <c r="F31" s="11">
        <v>-12.272409756183833</v>
      </c>
      <c r="G31" s="3">
        <v>0</v>
      </c>
      <c r="H31" s="3">
        <v>0</v>
      </c>
      <c r="I31" s="3">
        <v>83.7155822</v>
      </c>
      <c r="J31" s="3">
        <v>-462.50021049999998</v>
      </c>
      <c r="K31" s="3">
        <v>214.394755</v>
      </c>
      <c r="L31" s="18">
        <v>34.083665920000001</v>
      </c>
      <c r="M31" s="3">
        <v>0</v>
      </c>
      <c r="N31" s="3">
        <v>0</v>
      </c>
      <c r="O31" s="3">
        <v>25.23002052</v>
      </c>
      <c r="P31" s="3">
        <v>-145.0154517</v>
      </c>
      <c r="Q31" s="3">
        <v>120.427453</v>
      </c>
      <c r="R31" s="18">
        <v>-6.1624817270000003</v>
      </c>
    </row>
    <row r="32" spans="1:18">
      <c r="A32" s="3">
        <v>0</v>
      </c>
      <c r="B32" s="3">
        <v>0</v>
      </c>
      <c r="C32" s="3">
        <v>0.23657252400000001</v>
      </c>
      <c r="D32" s="3">
        <v>31.267707080000001</v>
      </c>
      <c r="E32" s="3">
        <v>114.070395</v>
      </c>
      <c r="F32" s="11">
        <v>-12.351816133153989</v>
      </c>
      <c r="G32" s="3">
        <v>0</v>
      </c>
      <c r="H32" s="3">
        <v>0</v>
      </c>
      <c r="I32" s="3">
        <v>84.035104160000003</v>
      </c>
      <c r="J32" s="3">
        <v>-506.21134660000001</v>
      </c>
      <c r="K32" s="3">
        <v>183.656677</v>
      </c>
      <c r="L32" s="18">
        <v>32.578563780000003</v>
      </c>
      <c r="M32" s="3">
        <v>0</v>
      </c>
      <c r="N32" s="3">
        <v>0</v>
      </c>
      <c r="O32" s="3">
        <v>23.647632130000002</v>
      </c>
      <c r="P32" s="3">
        <v>-143.54399230000001</v>
      </c>
      <c r="Q32" s="3">
        <v>120.6544</v>
      </c>
      <c r="R32" s="18">
        <v>-7.3131035019999997</v>
      </c>
    </row>
  </sheetData>
  <mergeCells count="3">
    <mergeCell ref="A6:E6"/>
    <mergeCell ref="G6:K6"/>
    <mergeCell ref="M6:Q6"/>
  </mergeCells>
  <pageMargins left="0.7" right="0.7" top="0.75" bottom="0.75" header="0.3" footer="0.3"/>
  <pageSetup orientation="landscape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BC212-AC12-9A44-A571-ADBAB4AF6BE6}">
  <sheetPr codeName="Sheet5"/>
  <dimension ref="A1:O501"/>
  <sheetViews>
    <sheetView topLeftCell="O1" zoomScale="108" workbookViewId="0">
      <selection activeCell="U19" sqref="U19"/>
    </sheetView>
  </sheetViews>
  <sheetFormatPr baseColWidth="10" defaultRowHeight="16"/>
  <cols>
    <col min="4" max="5" width="39.83203125" customWidth="1"/>
    <col min="6" max="6" width="19.6640625" customWidth="1"/>
    <col min="8" max="8" width="21" customWidth="1"/>
    <col min="14" max="14" width="25.6640625" customWidth="1"/>
  </cols>
  <sheetData>
    <row r="1" spans="1:15">
      <c r="A1" t="s">
        <v>88</v>
      </c>
      <c r="H1">
        <v>11.362464516255386</v>
      </c>
      <c r="K1">
        <v>10.539677968318301</v>
      </c>
      <c r="O1">
        <v>-23.775573310634627</v>
      </c>
    </row>
    <row r="2" spans="1:15">
      <c r="H2">
        <v>25.329486556491474</v>
      </c>
      <c r="K2">
        <v>12.374625371231105</v>
      </c>
      <c r="O2">
        <v>-25.144050983424677</v>
      </c>
    </row>
    <row r="3" spans="1:15">
      <c r="H3">
        <v>27.581918734154897</v>
      </c>
      <c r="K3">
        <v>6.2343973650808948</v>
      </c>
      <c r="O3">
        <v>-23.558847705900916</v>
      </c>
    </row>
    <row r="4" spans="1:15">
      <c r="A4" s="23" t="s">
        <v>79</v>
      </c>
      <c r="B4" s="32">
        <f>G5</f>
        <v>2735.25</v>
      </c>
      <c r="F4" s="31" t="s">
        <v>103</v>
      </c>
      <c r="G4" s="31"/>
      <c r="H4">
        <v>14.907397546709944</v>
      </c>
      <c r="I4" s="31" t="s">
        <v>102</v>
      </c>
      <c r="J4" s="31"/>
      <c r="K4">
        <v>9.1574351559547722</v>
      </c>
      <c r="M4" s="31" t="s">
        <v>101</v>
      </c>
      <c r="N4" s="31"/>
      <c r="O4">
        <v>-23.052985020785854</v>
      </c>
    </row>
    <row r="5" spans="1:15">
      <c r="A5" s="23" t="s">
        <v>81</v>
      </c>
      <c r="B5" s="31">
        <v>123</v>
      </c>
      <c r="F5" s="31" t="s">
        <v>79</v>
      </c>
      <c r="G5" s="32">
        <v>2735.25</v>
      </c>
      <c r="H5">
        <v>11.907744300158811</v>
      </c>
      <c r="I5" s="31" t="s">
        <v>79</v>
      </c>
      <c r="J5" s="32">
        <v>2735.25</v>
      </c>
      <c r="K5">
        <v>8.074617035988922</v>
      </c>
      <c r="M5" s="31" t="s">
        <v>79</v>
      </c>
      <c r="N5" s="32">
        <f>J5</f>
        <v>2735.25</v>
      </c>
      <c r="O5">
        <v>-25.725700761386179</v>
      </c>
    </row>
    <row r="6" spans="1:15">
      <c r="A6" s="23" t="s">
        <v>83</v>
      </c>
      <c r="B6" s="31">
        <v>2860</v>
      </c>
      <c r="F6" s="31" t="s">
        <v>81</v>
      </c>
      <c r="G6" s="31">
        <v>123</v>
      </c>
      <c r="H6">
        <v>35.817208790693485</v>
      </c>
      <c r="I6" s="31" t="s">
        <v>81</v>
      </c>
      <c r="J6" s="31">
        <v>123</v>
      </c>
      <c r="K6">
        <v>9.9770799823372727</v>
      </c>
      <c r="M6" s="31" t="s">
        <v>81</v>
      </c>
      <c r="N6" s="31">
        <v>123</v>
      </c>
      <c r="O6">
        <v>-23.239762714650624</v>
      </c>
    </row>
    <row r="7" spans="1:15">
      <c r="A7" s="23" t="s">
        <v>80</v>
      </c>
      <c r="B7" s="31">
        <f>'Gamma with in the money put'!C53</f>
        <v>296.5</v>
      </c>
      <c r="D7" t="s">
        <v>89</v>
      </c>
      <c r="F7" s="31" t="s">
        <v>83</v>
      </c>
      <c r="G7" s="31">
        <v>2860</v>
      </c>
      <c r="H7">
        <v>23.952731756487765</v>
      </c>
      <c r="I7" s="31" t="s">
        <v>83</v>
      </c>
      <c r="J7" s="31">
        <v>2860</v>
      </c>
      <c r="K7">
        <v>11.128787492187257</v>
      </c>
      <c r="M7" s="31" t="s">
        <v>83</v>
      </c>
      <c r="N7" s="31">
        <v>2860</v>
      </c>
      <c r="O7">
        <v>-23.430148624127014</v>
      </c>
    </row>
    <row r="8" spans="1:15">
      <c r="A8" s="23" t="s">
        <v>82</v>
      </c>
      <c r="B8" s="31">
        <v>2950</v>
      </c>
      <c r="D8" t="s">
        <v>90</v>
      </c>
      <c r="F8" s="31" t="s">
        <v>80</v>
      </c>
      <c r="G8" s="31">
        <f>'Delta Gamma Vega heage'!C44</f>
        <v>138.5</v>
      </c>
      <c r="H8">
        <v>19.915082006426474</v>
      </c>
      <c r="I8" s="31" t="s">
        <v>80</v>
      </c>
      <c r="J8" s="31">
        <v>175.5</v>
      </c>
      <c r="K8">
        <v>4.6584933817762249</v>
      </c>
      <c r="M8" s="31" t="s">
        <v>80</v>
      </c>
      <c r="N8" s="31">
        <f>'Delta Gamma Vega heage'!C75</f>
        <v>296.5</v>
      </c>
      <c r="O8">
        <v>-24.252903781328314</v>
      </c>
    </row>
    <row r="9" spans="1:15">
      <c r="A9" s="23" t="s">
        <v>21</v>
      </c>
      <c r="B9" s="33">
        <v>6.7000000000000002E-3</v>
      </c>
      <c r="D9" t="s">
        <v>91</v>
      </c>
      <c r="F9" s="31" t="s">
        <v>82</v>
      </c>
      <c r="G9" s="31">
        <v>2600</v>
      </c>
      <c r="H9">
        <v>25.151491361448734</v>
      </c>
      <c r="I9" s="31" t="s">
        <v>82</v>
      </c>
      <c r="J9" s="31">
        <v>2700</v>
      </c>
      <c r="K9">
        <v>13.768147949756894</v>
      </c>
      <c r="M9" s="31" t="s">
        <v>82</v>
      </c>
      <c r="N9" s="31">
        <v>2950</v>
      </c>
      <c r="O9">
        <v>-24.79939533824745</v>
      </c>
    </row>
    <row r="10" spans="1:15">
      <c r="A10" s="23" t="s">
        <v>84</v>
      </c>
      <c r="B10" s="31">
        <v>0.4</v>
      </c>
      <c r="D10" t="s">
        <v>92</v>
      </c>
      <c r="F10" s="31" t="s">
        <v>21</v>
      </c>
      <c r="G10" s="33">
        <v>6.7000000000000002E-3</v>
      </c>
      <c r="H10">
        <v>21.109941722333133</v>
      </c>
      <c r="I10" s="31" t="s">
        <v>21</v>
      </c>
      <c r="J10" s="33">
        <v>6.7000000000000002E-3</v>
      </c>
      <c r="K10">
        <v>9.5930122929385107</v>
      </c>
      <c r="M10" s="31" t="s">
        <v>21</v>
      </c>
      <c r="N10" s="33">
        <v>6.7000000000000002E-3</v>
      </c>
      <c r="O10">
        <v>-23.919203886727701</v>
      </c>
    </row>
    <row r="11" spans="1:15">
      <c r="A11" s="23" t="s">
        <v>20</v>
      </c>
      <c r="B11" s="33">
        <v>2.3099999999999999E-2</v>
      </c>
      <c r="D11" t="s">
        <v>93</v>
      </c>
      <c r="F11" s="31" t="s">
        <v>84</v>
      </c>
      <c r="G11" s="31">
        <v>0.4</v>
      </c>
      <c r="H11">
        <v>24.805830442207025</v>
      </c>
      <c r="I11" s="31" t="s">
        <v>84</v>
      </c>
      <c r="J11" s="31">
        <v>0.4</v>
      </c>
      <c r="K11">
        <v>4.9095367026911845</v>
      </c>
      <c r="M11" s="31" t="s">
        <v>84</v>
      </c>
      <c r="N11" s="31">
        <v>0.4</v>
      </c>
      <c r="O11">
        <v>-24.857293385286084</v>
      </c>
    </row>
    <row r="12" spans="1:15">
      <c r="A12" s="23" t="s">
        <v>15</v>
      </c>
      <c r="B12" s="34">
        <f>90/365</f>
        <v>0.24657534246575341</v>
      </c>
      <c r="D12" t="s">
        <v>94</v>
      </c>
      <c r="F12" s="31" t="s">
        <v>20</v>
      </c>
      <c r="G12" s="33">
        <v>2.3099999999999999E-2</v>
      </c>
      <c r="H12">
        <v>22.187700669472179</v>
      </c>
      <c r="I12" s="31" t="s">
        <v>20</v>
      </c>
      <c r="J12" s="33">
        <v>2.3099999999999999E-2</v>
      </c>
      <c r="K12">
        <v>8.6986762350079516</v>
      </c>
      <c r="M12" s="31" t="s">
        <v>20</v>
      </c>
      <c r="N12" s="33">
        <v>2.3099999999999999E-2</v>
      </c>
      <c r="O12">
        <v>-26.271246812462323</v>
      </c>
    </row>
    <row r="13" spans="1:15">
      <c r="A13" s="23" t="s">
        <v>85</v>
      </c>
      <c r="B13" s="31">
        <v>0.12</v>
      </c>
      <c r="D13" t="s">
        <v>95</v>
      </c>
      <c r="F13" s="31" t="s">
        <v>15</v>
      </c>
      <c r="G13" s="34">
        <v>0.25</v>
      </c>
      <c r="H13">
        <v>24.277183466269207</v>
      </c>
      <c r="I13" s="31" t="s">
        <v>15</v>
      </c>
      <c r="J13" s="34">
        <v>0.25</v>
      </c>
      <c r="K13">
        <v>10.650969376573357</v>
      </c>
      <c r="M13" s="31" t="s">
        <v>15</v>
      </c>
      <c r="N13" s="34">
        <f>90/365</f>
        <v>0.24657534246575341</v>
      </c>
      <c r="O13">
        <v>-26.272806039040915</v>
      </c>
    </row>
    <row r="14" spans="1:15">
      <c r="A14" s="23" t="s">
        <v>86</v>
      </c>
      <c r="B14" s="31">
        <v>500</v>
      </c>
      <c r="D14" t="s">
        <v>96</v>
      </c>
      <c r="F14" s="31" t="s">
        <v>85</v>
      </c>
      <c r="G14" s="31">
        <v>0.12</v>
      </c>
      <c r="H14">
        <v>20.300127729520682</v>
      </c>
      <c r="I14" s="31" t="s">
        <v>85</v>
      </c>
      <c r="J14" s="31">
        <v>0.12</v>
      </c>
      <c r="K14">
        <v>5.4541638402056378</v>
      </c>
      <c r="M14" s="31" t="s">
        <v>85</v>
      </c>
      <c r="N14" s="31">
        <v>0.12</v>
      </c>
      <c r="O14">
        <v>-23.319998309483253</v>
      </c>
    </row>
    <row r="15" spans="1:15">
      <c r="A15" s="23" t="s">
        <v>87</v>
      </c>
      <c r="B15" s="31">
        <v>90</v>
      </c>
      <c r="D15" t="s">
        <v>97</v>
      </c>
      <c r="F15" s="31" t="s">
        <v>86</v>
      </c>
      <c r="G15" s="31">
        <v>500</v>
      </c>
      <c r="H15">
        <v>12.937123850472062</v>
      </c>
      <c r="I15" s="31" t="s">
        <v>86</v>
      </c>
      <c r="J15" s="31">
        <v>500</v>
      </c>
      <c r="K15">
        <v>15.100581883345058</v>
      </c>
      <c r="M15" s="31" t="s">
        <v>86</v>
      </c>
      <c r="N15" s="31">
        <v>500</v>
      </c>
      <c r="O15">
        <v>-21.883355239649063</v>
      </c>
    </row>
    <row r="16" spans="1:15">
      <c r="F16" s="31" t="s">
        <v>87</v>
      </c>
      <c r="G16" s="31">
        <v>90</v>
      </c>
      <c r="H16">
        <v>24.467051025309502</v>
      </c>
      <c r="I16" s="31" t="s">
        <v>87</v>
      </c>
      <c r="J16" s="31">
        <v>90</v>
      </c>
      <c r="K16">
        <v>10.326532234339538</v>
      </c>
      <c r="M16" s="31" t="s">
        <v>87</v>
      </c>
      <c r="N16" s="31">
        <v>90</v>
      </c>
      <c r="O16">
        <v>-25.648774995454005</v>
      </c>
    </row>
    <row r="17" spans="8:15">
      <c r="H17">
        <v>20.029148548107059</v>
      </c>
      <c r="K17">
        <v>12.754379018746022</v>
      </c>
      <c r="O17">
        <v>-25.286059794354969</v>
      </c>
    </row>
    <row r="18" spans="8:15">
      <c r="H18">
        <v>12.515568855014408</v>
      </c>
      <c r="K18">
        <v>9.7697905015579636</v>
      </c>
      <c r="O18">
        <v>-23.069921156706187</v>
      </c>
    </row>
    <row r="19" spans="8:15">
      <c r="H19">
        <v>19.930202312601068</v>
      </c>
      <c r="K19">
        <v>8.0149584810014858</v>
      </c>
      <c r="O19">
        <v>-24.251193225409679</v>
      </c>
    </row>
    <row r="20" spans="8:15">
      <c r="H20">
        <v>20.148524666345565</v>
      </c>
      <c r="K20">
        <v>8.0987703243349642</v>
      </c>
      <c r="O20">
        <v>-25.993516570399606</v>
      </c>
    </row>
    <row r="21" spans="8:15">
      <c r="H21">
        <v>21.535678614929111</v>
      </c>
      <c r="K21">
        <v>9.0360245034867148</v>
      </c>
      <c r="O21">
        <v>-25.689722278908903</v>
      </c>
    </row>
    <row r="22" spans="8:15">
      <c r="H22">
        <v>15.134718331570639</v>
      </c>
      <c r="K22">
        <v>8.2799579899383389</v>
      </c>
      <c r="O22">
        <v>-24.32609016846709</v>
      </c>
    </row>
    <row r="23" spans="8:15">
      <c r="H23">
        <v>21.990038158888638</v>
      </c>
      <c r="K23">
        <v>7.775889058622397</v>
      </c>
      <c r="O23">
        <v>-25.267048497308224</v>
      </c>
    </row>
    <row r="24" spans="8:15">
      <c r="H24">
        <v>18.871908384321159</v>
      </c>
      <c r="K24">
        <v>11.568049378347041</v>
      </c>
      <c r="O24">
        <v>-24.316204391108386</v>
      </c>
    </row>
    <row r="25" spans="8:15">
      <c r="H25">
        <v>8.7527021559299101</v>
      </c>
      <c r="K25">
        <v>7.2875235858418819</v>
      </c>
      <c r="O25">
        <v>-20.62569896937066</v>
      </c>
    </row>
    <row r="26" spans="8:15">
      <c r="H26">
        <v>25.106949627213453</v>
      </c>
      <c r="K26">
        <v>9.5700237070959702</v>
      </c>
      <c r="O26">
        <v>-22.706608318046619</v>
      </c>
    </row>
    <row r="27" spans="8:15">
      <c r="H27">
        <v>17.413566550634187</v>
      </c>
      <c r="K27">
        <v>11.241489513767647</v>
      </c>
      <c r="O27">
        <v>-24.176671458381406</v>
      </c>
    </row>
    <row r="28" spans="8:15">
      <c r="H28">
        <v>16.323936396973522</v>
      </c>
      <c r="K28">
        <v>11.145686598334578</v>
      </c>
      <c r="O28">
        <v>-24.394170687940004</v>
      </c>
    </row>
    <row r="29" spans="8:15">
      <c r="H29">
        <v>18.894469615063144</v>
      </c>
      <c r="K29">
        <v>16.473780956339397</v>
      </c>
      <c r="O29">
        <v>-22.473895143725258</v>
      </c>
    </row>
    <row r="30" spans="8:15">
      <c r="H30">
        <v>17.665810612641963</v>
      </c>
      <c r="K30">
        <v>9.5697376116936539</v>
      </c>
      <c r="O30">
        <v>-25.344489084379347</v>
      </c>
    </row>
    <row r="31" spans="8:15">
      <c r="H31">
        <v>22.090108916569534</v>
      </c>
      <c r="K31">
        <v>20.241464467106653</v>
      </c>
      <c r="O31">
        <v>-24.774194282751068</v>
      </c>
    </row>
    <row r="32" spans="8:15">
      <c r="H32">
        <v>15.85053491222925</v>
      </c>
      <c r="K32">
        <v>7.7063888366733408</v>
      </c>
      <c r="O32">
        <v>-23.500669671477226</v>
      </c>
    </row>
    <row r="33" spans="8:15">
      <c r="H33">
        <v>16.760297739936959</v>
      </c>
      <c r="K33">
        <v>7.2607458126226447</v>
      </c>
      <c r="O33">
        <v>-21.117697469787799</v>
      </c>
    </row>
    <row r="34" spans="8:15">
      <c r="H34">
        <v>19.787428994370657</v>
      </c>
      <c r="K34">
        <v>15.772829354878013</v>
      </c>
      <c r="O34">
        <v>-22.161533058929763</v>
      </c>
    </row>
    <row r="35" spans="8:15">
      <c r="H35">
        <v>15.388010865319529</v>
      </c>
      <c r="K35">
        <v>5.4053722198123069</v>
      </c>
      <c r="O35">
        <v>-22.122633153314382</v>
      </c>
    </row>
    <row r="36" spans="8:15">
      <c r="H36">
        <v>24.389308004528857</v>
      </c>
      <c r="K36">
        <v>7.7023045708442623</v>
      </c>
      <c r="O36">
        <v>-22.833154127442867</v>
      </c>
    </row>
    <row r="37" spans="8:15">
      <c r="H37">
        <v>23.658451336095823</v>
      </c>
      <c r="K37">
        <v>6.0321928055441276</v>
      </c>
      <c r="O37">
        <v>-22.316771349483133</v>
      </c>
    </row>
    <row r="38" spans="8:15">
      <c r="H38">
        <v>18.503662545602765</v>
      </c>
      <c r="K38">
        <v>9.463932029953412</v>
      </c>
      <c r="O38">
        <v>-23.374582044894851</v>
      </c>
    </row>
    <row r="39" spans="8:15">
      <c r="H39">
        <v>20.616098798045186</v>
      </c>
      <c r="K39">
        <v>12.072735297523195</v>
      </c>
      <c r="O39">
        <v>-23.334650988986596</v>
      </c>
    </row>
    <row r="40" spans="8:15">
      <c r="H40">
        <v>17.171354912813968</v>
      </c>
      <c r="K40">
        <v>11.903592127673619</v>
      </c>
      <c r="O40">
        <v>-25.226083436286444</v>
      </c>
    </row>
    <row r="41" spans="8:15">
      <c r="H41">
        <v>22.904007049581196</v>
      </c>
      <c r="K41">
        <v>6.2307726317399101</v>
      </c>
      <c r="O41">
        <v>-24.54340638274698</v>
      </c>
    </row>
    <row r="42" spans="8:15">
      <c r="H42">
        <v>25.669752920574638</v>
      </c>
      <c r="K42">
        <v>5.2115993858019465</v>
      </c>
      <c r="O42">
        <v>-21.999027457713964</v>
      </c>
    </row>
    <row r="43" spans="8:15">
      <c r="H43">
        <v>16.734904468691639</v>
      </c>
      <c r="K43">
        <v>11.794391313615961</v>
      </c>
      <c r="O43">
        <v>-23.637026230557694</v>
      </c>
    </row>
    <row r="44" spans="8:15">
      <c r="H44">
        <v>18.24489163946464</v>
      </c>
      <c r="K44">
        <v>10.318596081203395</v>
      </c>
      <c r="O44">
        <v>-21.943184976481007</v>
      </c>
    </row>
    <row r="45" spans="8:15">
      <c r="H45">
        <v>16.353293037367621</v>
      </c>
      <c r="K45">
        <v>14.640015637745364</v>
      </c>
      <c r="O45">
        <v>-22.702610626665319</v>
      </c>
    </row>
    <row r="46" spans="8:15">
      <c r="H46">
        <v>19.306032353530327</v>
      </c>
      <c r="K46">
        <v>7.399855848126208</v>
      </c>
      <c r="O46">
        <v>-25.282325685680007</v>
      </c>
    </row>
    <row r="47" spans="8:15">
      <c r="H47">
        <v>17.660264975980226</v>
      </c>
      <c r="K47">
        <v>10.364921865954784</v>
      </c>
      <c r="O47">
        <v>-23.488446711375218</v>
      </c>
    </row>
    <row r="48" spans="8:15">
      <c r="H48">
        <v>18.060618733898082</v>
      </c>
      <c r="K48">
        <v>6.5769628750940683</v>
      </c>
      <c r="O48">
        <v>-22.499881798506522</v>
      </c>
    </row>
    <row r="49" spans="8:15">
      <c r="H49">
        <v>20.601753468956758</v>
      </c>
      <c r="K49">
        <v>9.6749890764076554</v>
      </c>
      <c r="O49">
        <v>-23.738859063337713</v>
      </c>
    </row>
    <row r="50" spans="8:15">
      <c r="H50">
        <v>15.434631772664488</v>
      </c>
      <c r="K50">
        <v>7.6989459266555968</v>
      </c>
      <c r="O50">
        <v>-26.785964382801922</v>
      </c>
    </row>
    <row r="51" spans="8:15">
      <c r="H51">
        <v>24.854625257766884</v>
      </c>
      <c r="K51">
        <v>11.31468085186998</v>
      </c>
      <c r="O51">
        <v>-26.230822314419584</v>
      </c>
    </row>
    <row r="52" spans="8:15">
      <c r="H52">
        <v>22.408168843809563</v>
      </c>
      <c r="K52">
        <v>12.235271021164863</v>
      </c>
      <c r="O52">
        <v>-22.358637437891048</v>
      </c>
    </row>
    <row r="53" spans="8:15">
      <c r="H53">
        <v>21.825328655792873</v>
      </c>
      <c r="K53">
        <v>7.4775617817822422</v>
      </c>
      <c r="O53">
        <v>-23.317327583742099</v>
      </c>
    </row>
    <row r="54" spans="8:15">
      <c r="H54">
        <v>27.228793753971786</v>
      </c>
      <c r="K54">
        <v>8.5296533026653378</v>
      </c>
      <c r="O54">
        <v>-24.104442172668769</v>
      </c>
    </row>
    <row r="55" spans="8:15">
      <c r="H55">
        <v>24.943796586658664</v>
      </c>
      <c r="K55">
        <v>7.6789241462956852</v>
      </c>
      <c r="O55">
        <v>-23.440426324498276</v>
      </c>
    </row>
    <row r="56" spans="8:15">
      <c r="H56">
        <v>19.532150289673154</v>
      </c>
      <c r="K56">
        <v>10.579041834690088</v>
      </c>
      <c r="O56">
        <v>-24.30627573638867</v>
      </c>
    </row>
    <row r="57" spans="8:15">
      <c r="H57">
        <v>22.298931962368215</v>
      </c>
      <c r="K57">
        <v>1.9183619491159334</v>
      </c>
      <c r="O57">
        <v>-23.201729337045435</v>
      </c>
    </row>
    <row r="58" spans="8:15">
      <c r="H58">
        <v>21.182021971990025</v>
      </c>
      <c r="K58">
        <v>12.203902248518716</v>
      </c>
      <c r="O58">
        <v>-23.984441062416408</v>
      </c>
    </row>
    <row r="59" spans="8:15">
      <c r="H59">
        <v>16.984316939453493</v>
      </c>
      <c r="K59">
        <v>7.9859064775309889</v>
      </c>
      <c r="O59">
        <v>-24.812812077032959</v>
      </c>
    </row>
    <row r="60" spans="8:15">
      <c r="H60">
        <v>17.451968608567768</v>
      </c>
      <c r="K60">
        <v>10.594857524622967</v>
      </c>
      <c r="O60">
        <v>-25.973672601870476</v>
      </c>
    </row>
    <row r="61" spans="8:15">
      <c r="H61">
        <v>8.7390993855556189</v>
      </c>
      <c r="K61">
        <v>8.3718745865362507</v>
      </c>
      <c r="O61">
        <v>-24.29727806309711</v>
      </c>
    </row>
    <row r="62" spans="8:15">
      <c r="H62">
        <v>23.897840724765729</v>
      </c>
      <c r="K62">
        <v>7.2614305457227601</v>
      </c>
      <c r="O62">
        <v>-24.717161959569694</v>
      </c>
    </row>
    <row r="63" spans="8:15">
      <c r="H63">
        <v>25.755048115545833</v>
      </c>
      <c r="K63">
        <v>8.2682097016977423</v>
      </c>
      <c r="O63">
        <v>-25.750521269635101</v>
      </c>
    </row>
    <row r="64" spans="8:15">
      <c r="H64">
        <v>18.080835639104862</v>
      </c>
      <c r="K64">
        <v>8.8878096079333773</v>
      </c>
      <c r="O64">
        <v>-26.066625426270093</v>
      </c>
    </row>
    <row r="65" spans="8:15">
      <c r="H65">
        <v>21.339148864084109</v>
      </c>
      <c r="K65">
        <v>9.6546067727358604</v>
      </c>
      <c r="O65">
        <v>-24.04189378605588</v>
      </c>
    </row>
    <row r="66" spans="8:15">
      <c r="H66">
        <v>16.65381420960739</v>
      </c>
      <c r="K66">
        <v>8.9774936379285464</v>
      </c>
      <c r="O66">
        <v>-24.278972096556117</v>
      </c>
    </row>
    <row r="67" spans="8:15">
      <c r="H67">
        <v>17.458094876547875</v>
      </c>
      <c r="K67">
        <v>7.6305943263869267</v>
      </c>
      <c r="O67">
        <v>-23.946200605116246</v>
      </c>
    </row>
    <row r="68" spans="8:15">
      <c r="H68">
        <v>15.708759231436943</v>
      </c>
      <c r="K68">
        <v>6.4800337069050329</v>
      </c>
      <c r="O68">
        <v>-21.742525547922014</v>
      </c>
    </row>
    <row r="69" spans="8:15">
      <c r="H69">
        <v>12.054848795272619</v>
      </c>
      <c r="K69">
        <v>5.4770465307592531</v>
      </c>
      <c r="O69">
        <v>-23.870526812239405</v>
      </c>
    </row>
    <row r="70" spans="8:15">
      <c r="H70">
        <v>21.977004651752168</v>
      </c>
      <c r="K70">
        <v>9.337846982064093</v>
      </c>
      <c r="O70">
        <v>-24.208814228430128</v>
      </c>
    </row>
    <row r="71" spans="8:15">
      <c r="H71">
        <v>20.679585405160196</v>
      </c>
      <c r="K71">
        <v>21.090285604570454</v>
      </c>
      <c r="O71">
        <v>-22.001944452048065</v>
      </c>
    </row>
    <row r="72" spans="8:15">
      <c r="H72">
        <v>17.632966097163262</v>
      </c>
      <c r="K72">
        <v>13.690291407435325</v>
      </c>
      <c r="O72">
        <v>-24.703445062190895</v>
      </c>
    </row>
    <row r="73" spans="8:15">
      <c r="H73">
        <v>18.79560462378322</v>
      </c>
      <c r="K73">
        <v>10.95486588433323</v>
      </c>
      <c r="O73">
        <v>-21.365094627935378</v>
      </c>
    </row>
    <row r="74" spans="8:15">
      <c r="H74">
        <v>22.26367756792979</v>
      </c>
      <c r="K74">
        <v>12.04777457917362</v>
      </c>
      <c r="O74">
        <v>-25.326809121474525</v>
      </c>
    </row>
    <row r="75" spans="8:15">
      <c r="H75">
        <v>28.51180111181975</v>
      </c>
      <c r="K75">
        <v>10.365054709565811</v>
      </c>
      <c r="O75">
        <v>-24.779717253294166</v>
      </c>
    </row>
    <row r="76" spans="8:15">
      <c r="H76">
        <v>16.034830806668651</v>
      </c>
      <c r="K76">
        <v>8.7094480214623218</v>
      </c>
      <c r="O76">
        <v>-22.181628635301422</v>
      </c>
    </row>
    <row r="77" spans="8:15">
      <c r="H77">
        <v>16.581008586349526</v>
      </c>
      <c r="K77">
        <v>8.6904518436954277</v>
      </c>
      <c r="O77">
        <v>-23.151860295945426</v>
      </c>
    </row>
    <row r="78" spans="8:15">
      <c r="H78">
        <v>18.462998788031655</v>
      </c>
      <c r="K78">
        <v>8.8913053685660088</v>
      </c>
      <c r="O78">
        <v>-23.084884054887425</v>
      </c>
    </row>
    <row r="79" spans="8:15">
      <c r="H79">
        <v>17.647157080422858</v>
      </c>
      <c r="K79">
        <v>11.970832794053422</v>
      </c>
      <c r="O79">
        <v>-23.873141815603958</v>
      </c>
    </row>
    <row r="80" spans="8:15">
      <c r="H80">
        <v>14.58150945921011</v>
      </c>
      <c r="K80">
        <v>10.387279372831017</v>
      </c>
      <c r="O80">
        <v>-24.524840779902661</v>
      </c>
    </row>
    <row r="81" spans="8:15">
      <c r="H81">
        <v>17.968923826044829</v>
      </c>
      <c r="K81">
        <v>9.7281530583359199</v>
      </c>
      <c r="O81">
        <v>-23.92143733220837</v>
      </c>
    </row>
    <row r="82" spans="8:15">
      <c r="H82">
        <v>18.721352061806101</v>
      </c>
      <c r="K82">
        <v>11.653788068007088</v>
      </c>
      <c r="O82">
        <v>-24.943319072207487</v>
      </c>
    </row>
    <row r="83" spans="8:15">
      <c r="H83">
        <v>26.511228626813818</v>
      </c>
      <c r="K83">
        <v>8.6029787731581564</v>
      </c>
      <c r="O83">
        <v>-24.451093185696209</v>
      </c>
    </row>
    <row r="84" spans="8:15">
      <c r="H84">
        <v>17.828499476437628</v>
      </c>
      <c r="K84">
        <v>6.5629599321960086</v>
      </c>
      <c r="O84">
        <v>-25.042440458285455</v>
      </c>
    </row>
    <row r="85" spans="8:15">
      <c r="H85">
        <v>16.002464923892148</v>
      </c>
      <c r="K85">
        <v>4.5240554284141581</v>
      </c>
      <c r="O85">
        <v>-27.033601956688017</v>
      </c>
    </row>
    <row r="86" spans="8:15">
      <c r="H86">
        <v>17.688283229035733</v>
      </c>
      <c r="K86">
        <v>8.5710048957171239</v>
      </c>
      <c r="O86">
        <v>-22.202902164776788</v>
      </c>
    </row>
    <row r="87" spans="8:15">
      <c r="H87">
        <v>13.040065730313472</v>
      </c>
      <c r="K87">
        <v>9.806450059988947</v>
      </c>
      <c r="O87">
        <v>-26.491215191514584</v>
      </c>
    </row>
    <row r="88" spans="8:15">
      <c r="H88">
        <v>16.219657908191039</v>
      </c>
      <c r="K88">
        <v>8.1083443620873368</v>
      </c>
      <c r="O88">
        <v>-24.462009975389265</v>
      </c>
    </row>
    <row r="89" spans="8:15">
      <c r="H89">
        <v>22.740427837734387</v>
      </c>
      <c r="K89">
        <v>8.0785667223894961</v>
      </c>
      <c r="O89">
        <v>-22.087655896239085</v>
      </c>
    </row>
    <row r="90" spans="8:15">
      <c r="H90">
        <v>17.566267197693833</v>
      </c>
      <c r="K90">
        <v>11.062537992584566</v>
      </c>
      <c r="O90">
        <v>-24.841692192515438</v>
      </c>
    </row>
    <row r="91" spans="8:15">
      <c r="H91">
        <v>18.010879503685373</v>
      </c>
      <c r="K91">
        <v>9.9789557185376907</v>
      </c>
      <c r="O91">
        <v>-24.421035510031743</v>
      </c>
    </row>
    <row r="92" spans="8:15">
      <c r="H92">
        <v>14.583955124928707</v>
      </c>
      <c r="K92">
        <v>6.6828608879382045</v>
      </c>
      <c r="O92">
        <v>-25.530769777349178</v>
      </c>
    </row>
    <row r="93" spans="8:15">
      <c r="H93">
        <v>21.119793537062378</v>
      </c>
      <c r="K93">
        <v>12.278429471240543</v>
      </c>
      <c r="O93">
        <v>-24.313204597864114</v>
      </c>
    </row>
    <row r="94" spans="8:15">
      <c r="H94">
        <v>19.62973036855783</v>
      </c>
      <c r="K94">
        <v>10.526699129532062</v>
      </c>
      <c r="O94">
        <v>-24.3114415034388</v>
      </c>
    </row>
    <row r="95" spans="8:15">
      <c r="H95">
        <v>20.169770246719509</v>
      </c>
      <c r="K95">
        <v>5.8830972958530765</v>
      </c>
      <c r="O95">
        <v>-24.399926278908879</v>
      </c>
    </row>
    <row r="96" spans="8:15">
      <c r="H96">
        <v>25.686817540125503</v>
      </c>
      <c r="K96">
        <v>11.801584904885203</v>
      </c>
      <c r="O96">
        <v>-23.372454687754271</v>
      </c>
    </row>
    <row r="97" spans="8:15">
      <c r="H97">
        <v>16.749943140805499</v>
      </c>
      <c r="K97">
        <v>6.8461426456760819</v>
      </c>
      <c r="O97">
        <v>-24.356177716020738</v>
      </c>
    </row>
    <row r="98" spans="8:15">
      <c r="H98">
        <v>16.237671694484789</v>
      </c>
      <c r="K98">
        <v>10.735745147492253</v>
      </c>
      <c r="O98">
        <v>-22.120461895688095</v>
      </c>
    </row>
    <row r="99" spans="8:15">
      <c r="H99">
        <v>18.747481818789311</v>
      </c>
      <c r="K99">
        <v>9.5913332148597874</v>
      </c>
      <c r="O99">
        <v>-23.808069749755305</v>
      </c>
    </row>
    <row r="100" spans="8:15">
      <c r="H100">
        <v>23.767862089601749</v>
      </c>
      <c r="K100">
        <v>8.4215529494699695</v>
      </c>
      <c r="O100">
        <v>-26.476107350718848</v>
      </c>
    </row>
    <row r="101" spans="8:15">
      <c r="H101">
        <v>17.669735905592688</v>
      </c>
      <c r="K101">
        <v>13.176594949979062</v>
      </c>
      <c r="O101">
        <v>-24.434723761916302</v>
      </c>
    </row>
    <row r="102" spans="8:15">
      <c r="H102">
        <v>21.014300607854238</v>
      </c>
      <c r="K102">
        <v>5.5343988128929595</v>
      </c>
      <c r="O102">
        <v>-22.80614438492421</v>
      </c>
    </row>
    <row r="103" spans="8:15">
      <c r="H103">
        <v>19.958514890638298</v>
      </c>
      <c r="K103">
        <v>9.9903248394612092</v>
      </c>
      <c r="O103">
        <v>-23.032069638275971</v>
      </c>
    </row>
    <row r="104" spans="8:15">
      <c r="H104">
        <v>19.786704958472455</v>
      </c>
      <c r="K104">
        <v>13.565624955772364</v>
      </c>
      <c r="O104">
        <v>-27.201309973235766</v>
      </c>
    </row>
    <row r="105" spans="8:15">
      <c r="H105">
        <v>26.147282397134859</v>
      </c>
      <c r="K105">
        <v>8.4185637352998128</v>
      </c>
      <c r="O105">
        <v>-26.302245725900775</v>
      </c>
    </row>
    <row r="106" spans="8:15">
      <c r="H106">
        <v>18.820401770980197</v>
      </c>
      <c r="K106">
        <v>9.3708194078290035</v>
      </c>
      <c r="O106">
        <v>-25.229308952823885</v>
      </c>
    </row>
    <row r="107" spans="8:15">
      <c r="H107">
        <v>25.710991632637388</v>
      </c>
      <c r="K107">
        <v>9.1384132655980466</v>
      </c>
      <c r="O107">
        <v>-24.121363191719865</v>
      </c>
    </row>
    <row r="108" spans="8:15">
      <c r="H108">
        <v>15.07873054362426</v>
      </c>
      <c r="K108">
        <v>4.7442128445877643</v>
      </c>
      <c r="O108">
        <v>-23.033123111148143</v>
      </c>
    </row>
    <row r="109" spans="8:15">
      <c r="H109">
        <v>33.610083551259777</v>
      </c>
      <c r="K109">
        <v>8.9797642758044276</v>
      </c>
      <c r="O109">
        <v>-24.075991811460426</v>
      </c>
    </row>
    <row r="110" spans="8:15">
      <c r="H110">
        <v>22.675204182543439</v>
      </c>
      <c r="K110">
        <v>6.709748436677728</v>
      </c>
      <c r="O110">
        <v>-21.307619357451586</v>
      </c>
    </row>
    <row r="111" spans="8:15">
      <c r="H111">
        <v>24.573001119583978</v>
      </c>
      <c r="K111">
        <v>10.606315617772452</v>
      </c>
      <c r="O111">
        <v>-26.477387865382752</v>
      </c>
    </row>
    <row r="112" spans="8:15">
      <c r="H112">
        <v>21.809791609265631</v>
      </c>
      <c r="K112">
        <v>7.9196498315795907</v>
      </c>
      <c r="O112">
        <v>-26.57576133019802</v>
      </c>
    </row>
    <row r="113" spans="8:15">
      <c r="H113">
        <v>21.143184589204566</v>
      </c>
      <c r="K113">
        <v>5.143470248747235</v>
      </c>
      <c r="O113">
        <v>-24.10448854133665</v>
      </c>
    </row>
    <row r="114" spans="8:15">
      <c r="H114">
        <v>18.517831894927212</v>
      </c>
      <c r="K114">
        <v>8.74281685302185</v>
      </c>
      <c r="O114">
        <v>-23.666855836472678</v>
      </c>
    </row>
    <row r="115" spans="8:15">
      <c r="H115">
        <v>13.332097104825152</v>
      </c>
      <c r="K115">
        <v>10.552424831144435</v>
      </c>
      <c r="O115">
        <v>-23.566957282354451</v>
      </c>
    </row>
    <row r="116" spans="8:15">
      <c r="H116">
        <v>17.125581452457936</v>
      </c>
      <c r="K116">
        <v>9.8001076900313819</v>
      </c>
      <c r="O116">
        <v>-24.869887193246541</v>
      </c>
    </row>
    <row r="117" spans="8:15">
      <c r="H117">
        <v>30.499403538399292</v>
      </c>
      <c r="K117">
        <v>10.486258663373064</v>
      </c>
      <c r="O117">
        <v>-23.207184825229433</v>
      </c>
    </row>
    <row r="118" spans="8:15">
      <c r="H118">
        <v>23.743313402323565</v>
      </c>
      <c r="K118">
        <v>6.9290488871151865</v>
      </c>
      <c r="O118">
        <v>-24.117164733040681</v>
      </c>
    </row>
    <row r="119" spans="8:15">
      <c r="H119">
        <v>21.384559124625866</v>
      </c>
      <c r="K119">
        <v>11.416874656239543</v>
      </c>
      <c r="O119">
        <v>-22.713758464951752</v>
      </c>
    </row>
    <row r="120" spans="8:15">
      <c r="H120">
        <v>17.756978083056538</v>
      </c>
      <c r="K120">
        <v>10.774802711632219</v>
      </c>
      <c r="O120">
        <v>-22.691633164463383</v>
      </c>
    </row>
    <row r="121" spans="8:15">
      <c r="H121">
        <v>12.432619594041171</v>
      </c>
      <c r="K121">
        <v>12.620774074719066</v>
      </c>
      <c r="O121">
        <v>-25.908859092016883</v>
      </c>
    </row>
    <row r="122" spans="8:15">
      <c r="H122">
        <v>20.970729417208986</v>
      </c>
      <c r="K122">
        <v>6.7156868445622422</v>
      </c>
      <c r="O122">
        <v>-23.49124975014729</v>
      </c>
    </row>
    <row r="123" spans="8:15">
      <c r="H123">
        <v>18.405589775494263</v>
      </c>
      <c r="K123">
        <v>9.5614326787817845</v>
      </c>
      <c r="O123">
        <v>-22.672318408506271</v>
      </c>
    </row>
    <row r="124" spans="8:15">
      <c r="H124">
        <v>21.177926993696701</v>
      </c>
      <c r="K124">
        <v>6.1745610203847718</v>
      </c>
      <c r="O124">
        <v>-23.877468749830314</v>
      </c>
    </row>
    <row r="125" spans="8:15">
      <c r="H125">
        <v>20.728566716171372</v>
      </c>
      <c r="K125">
        <v>11.883606370928192</v>
      </c>
      <c r="O125">
        <v>-22.740636261044074</v>
      </c>
    </row>
    <row r="126" spans="8:15">
      <c r="H126">
        <v>22.76720656992984</v>
      </c>
      <c r="K126">
        <v>7.2224576411763337</v>
      </c>
      <c r="O126">
        <v>-26.898991719279365</v>
      </c>
    </row>
    <row r="127" spans="8:15">
      <c r="H127">
        <v>26.351101926654337</v>
      </c>
      <c r="K127">
        <v>8.9835782657423806</v>
      </c>
      <c r="O127">
        <v>-26.387678019991199</v>
      </c>
    </row>
    <row r="128" spans="8:15">
      <c r="H128">
        <v>20.662038152150672</v>
      </c>
      <c r="K128">
        <v>6.6835085141224226</v>
      </c>
      <c r="O128">
        <v>-27.095838760351398</v>
      </c>
    </row>
    <row r="129" spans="8:15">
      <c r="H129">
        <v>20.532250920427487</v>
      </c>
      <c r="K129">
        <v>11.354521379428661</v>
      </c>
      <c r="O129">
        <v>-26.339991013128838</v>
      </c>
    </row>
    <row r="130" spans="8:15">
      <c r="H130">
        <v>19.128470293345345</v>
      </c>
      <c r="K130">
        <v>12.312705935227314</v>
      </c>
      <c r="O130">
        <v>-26.165567230118086</v>
      </c>
    </row>
    <row r="131" spans="8:15">
      <c r="H131">
        <v>23.916759829198782</v>
      </c>
      <c r="K131">
        <v>12.036691686595532</v>
      </c>
      <c r="O131">
        <v>-22.726576512215161</v>
      </c>
    </row>
    <row r="132" spans="8:15">
      <c r="H132">
        <v>19.555848995916222</v>
      </c>
      <c r="K132">
        <v>6.8622177538318283</v>
      </c>
      <c r="O132">
        <v>-23.919107784834068</v>
      </c>
    </row>
    <row r="133" spans="8:15">
      <c r="H133">
        <v>17.702052956954049</v>
      </c>
      <c r="K133">
        <v>7.0093491366828857</v>
      </c>
      <c r="O133">
        <v>-23.756042141362286</v>
      </c>
    </row>
    <row r="134" spans="8:15">
      <c r="H134">
        <v>14.422477874901915</v>
      </c>
      <c r="K134">
        <v>8.8329426909185713</v>
      </c>
      <c r="O134">
        <v>-22.536236106672277</v>
      </c>
    </row>
    <row r="135" spans="8:15">
      <c r="H135">
        <v>19.350356624000597</v>
      </c>
      <c r="K135">
        <v>9.3469282078012839</v>
      </c>
      <c r="O135">
        <v>-26.299717486611826</v>
      </c>
    </row>
    <row r="136" spans="8:15">
      <c r="H136">
        <v>24.439440246677805</v>
      </c>
      <c r="K136">
        <v>11.204535359887359</v>
      </c>
      <c r="O136">
        <v>-25.98257003980325</v>
      </c>
    </row>
    <row r="137" spans="8:15">
      <c r="H137">
        <v>29.786860629828425</v>
      </c>
      <c r="K137">
        <v>14.454824694691069</v>
      </c>
      <c r="O137">
        <v>-21.633757979518123</v>
      </c>
    </row>
    <row r="138" spans="8:15">
      <c r="H138">
        <v>16.649071552090845</v>
      </c>
      <c r="K138">
        <v>7.5128927027758436</v>
      </c>
      <c r="O138">
        <v>-24.185531951168286</v>
      </c>
    </row>
    <row r="139" spans="8:15">
      <c r="H139">
        <v>19.347255908839543</v>
      </c>
      <c r="K139">
        <v>7.3700439042104335</v>
      </c>
      <c r="O139">
        <v>-25.127665858987257</v>
      </c>
    </row>
    <row r="140" spans="8:15">
      <c r="H140">
        <v>17.75939457973891</v>
      </c>
      <c r="K140">
        <v>8.5304618444038169</v>
      </c>
      <c r="O140">
        <v>-24.151577511339383</v>
      </c>
    </row>
    <row r="141" spans="8:15">
      <c r="H141">
        <v>22.105918440984169</v>
      </c>
      <c r="K141">
        <v>11.687262704738259</v>
      </c>
      <c r="O141">
        <v>-24.777950683540439</v>
      </c>
    </row>
    <row r="142" spans="8:15">
      <c r="H142">
        <v>17.613831524066882</v>
      </c>
      <c r="K142">
        <v>12.734947086267766</v>
      </c>
      <c r="O142">
        <v>-28.721698350565021</v>
      </c>
    </row>
    <row r="143" spans="8:15">
      <c r="H143">
        <v>12.928174137573023</v>
      </c>
      <c r="K143">
        <v>11.29420819989673</v>
      </c>
      <c r="O143">
        <v>-22.395828327406434</v>
      </c>
    </row>
    <row r="144" spans="8:15">
      <c r="H144">
        <v>18.099218413518656</v>
      </c>
      <c r="K144">
        <v>11.10456770193241</v>
      </c>
      <c r="O144">
        <v>-25.340690809925036</v>
      </c>
    </row>
    <row r="145" spans="8:15">
      <c r="H145">
        <v>18.530291556232442</v>
      </c>
      <c r="K145">
        <v>4.6609966122259721</v>
      </c>
      <c r="O145">
        <v>-23.125529156156517</v>
      </c>
    </row>
    <row r="146" spans="8:15">
      <c r="H146">
        <v>18.20411377629307</v>
      </c>
      <c r="K146">
        <v>15.574371163426804</v>
      </c>
      <c r="O146">
        <v>-23.036167393556298</v>
      </c>
    </row>
    <row r="147" spans="8:15">
      <c r="H147">
        <v>21.269554664585485</v>
      </c>
      <c r="K147">
        <v>10.127773552051167</v>
      </c>
      <c r="O147">
        <v>-22.615461910966133</v>
      </c>
    </row>
    <row r="148" spans="8:15">
      <c r="H148">
        <v>20.820805091689635</v>
      </c>
      <c r="K148">
        <v>9.9942566850845651</v>
      </c>
      <c r="O148">
        <v>-24.562093972475395</v>
      </c>
    </row>
    <row r="149" spans="8:15">
      <c r="H149">
        <v>23.731535860184977</v>
      </c>
      <c r="K149">
        <v>12.024007256069581</v>
      </c>
      <c r="O149">
        <v>-23.314706909627148</v>
      </c>
    </row>
    <row r="150" spans="8:15">
      <c r="H150">
        <v>18.628199254377705</v>
      </c>
      <c r="K150">
        <v>4.6950869937422794</v>
      </c>
      <c r="O150">
        <v>-24.41567558579618</v>
      </c>
    </row>
    <row r="151" spans="8:15">
      <c r="H151">
        <v>22.380682109265763</v>
      </c>
      <c r="K151">
        <v>8.7802763147137739</v>
      </c>
      <c r="O151">
        <v>-22.806288082371339</v>
      </c>
    </row>
    <row r="152" spans="8:15">
      <c r="H152">
        <v>17.625846044985792</v>
      </c>
      <c r="K152">
        <v>11.498368182330069</v>
      </c>
      <c r="O152">
        <v>-20.604444411188979</v>
      </c>
    </row>
    <row r="153" spans="8:15">
      <c r="H153">
        <v>20.81961836946607</v>
      </c>
      <c r="K153">
        <v>10.858656052289462</v>
      </c>
      <c r="O153">
        <v>-25.76926469365435</v>
      </c>
    </row>
    <row r="154" spans="8:15">
      <c r="H154">
        <v>14.473855593668077</v>
      </c>
      <c r="K154">
        <v>6.378528085549533</v>
      </c>
      <c r="O154">
        <v>-23.030150778002735</v>
      </c>
    </row>
    <row r="155" spans="8:15">
      <c r="H155">
        <v>18.705869142740994</v>
      </c>
      <c r="K155">
        <v>8.0297242924816601</v>
      </c>
      <c r="O155">
        <v>-25.139668023348804</v>
      </c>
    </row>
    <row r="156" spans="8:15">
      <c r="H156">
        <v>26.798586892082312</v>
      </c>
      <c r="K156">
        <v>9.0799691594406795</v>
      </c>
      <c r="O156">
        <v>-26.787956336278512</v>
      </c>
    </row>
    <row r="157" spans="8:15">
      <c r="H157">
        <v>26.656281589830542</v>
      </c>
      <c r="K157">
        <v>13.570551232014623</v>
      </c>
      <c r="O157">
        <v>-24.152398291973896</v>
      </c>
    </row>
    <row r="158" spans="8:15">
      <c r="H158">
        <v>20.421393384395742</v>
      </c>
      <c r="K158">
        <v>13.205667598781474</v>
      </c>
      <c r="O158">
        <v>-23.160564760033594</v>
      </c>
    </row>
    <row r="159" spans="8:15">
      <c r="H159">
        <v>17.397148421796601</v>
      </c>
      <c r="K159">
        <v>7.4664191098827359</v>
      </c>
      <c r="O159">
        <v>-23.119387103532063</v>
      </c>
    </row>
    <row r="160" spans="8:15">
      <c r="H160">
        <v>23.762378083823705</v>
      </c>
      <c r="K160">
        <v>11.765387215502415</v>
      </c>
      <c r="O160">
        <v>-24.050847090511525</v>
      </c>
    </row>
    <row r="161" spans="8:15">
      <c r="H161">
        <v>15.934563478909695</v>
      </c>
      <c r="K161">
        <v>7.7719971762176101</v>
      </c>
      <c r="O161">
        <v>-25.591782370357123</v>
      </c>
    </row>
    <row r="162" spans="8:15">
      <c r="H162">
        <v>22.276936105513414</v>
      </c>
      <c r="K162">
        <v>9.7956454586105792</v>
      </c>
      <c r="O162">
        <v>-21.9782338065761</v>
      </c>
    </row>
    <row r="163" spans="8:15">
      <c r="H163">
        <v>17.160483252230733</v>
      </c>
      <c r="K163">
        <v>9.7951493756445416</v>
      </c>
      <c r="O163">
        <v>-26.027601593829331</v>
      </c>
    </row>
    <row r="164" spans="8:15">
      <c r="H164">
        <v>19.356782127077167</v>
      </c>
      <c r="K164">
        <v>9.0440144912454343</v>
      </c>
      <c r="O164">
        <v>-25.706665000240719</v>
      </c>
    </row>
    <row r="165" spans="8:15">
      <c r="H165">
        <v>20.675101573617439</v>
      </c>
      <c r="K165">
        <v>5.7561851867462792</v>
      </c>
      <c r="O165">
        <v>-25.08468688996436</v>
      </c>
    </row>
    <row r="166" spans="8:15">
      <c r="H166">
        <v>23.940862516528341</v>
      </c>
      <c r="K166">
        <v>9.3459538155670998</v>
      </c>
      <c r="O166">
        <v>-22.670297651201508</v>
      </c>
    </row>
    <row r="167" spans="8:15">
      <c r="H167">
        <v>17.699637348190663</v>
      </c>
      <c r="K167">
        <v>5.8935699704438775</v>
      </c>
      <c r="O167">
        <v>-21.145645425485327</v>
      </c>
    </row>
    <row r="168" spans="8:15">
      <c r="H168">
        <v>20.21406489101264</v>
      </c>
      <c r="K168">
        <v>12.357736287823627</v>
      </c>
      <c r="O168">
        <v>-22.55795241775013</v>
      </c>
    </row>
    <row r="169" spans="8:15">
      <c r="H169">
        <v>20.919796970944844</v>
      </c>
      <c r="K169">
        <v>10.838921850943734</v>
      </c>
      <c r="O169">
        <v>-23.074951990020054</v>
      </c>
    </row>
    <row r="170" spans="8:15">
      <c r="H170">
        <v>24.120841179370473</v>
      </c>
      <c r="K170">
        <v>12.434264033155159</v>
      </c>
      <c r="O170">
        <v>-25.710335531114652</v>
      </c>
    </row>
    <row r="171" spans="8:15">
      <c r="H171">
        <v>22.913922724173062</v>
      </c>
      <c r="K171">
        <v>12.164034153169268</v>
      </c>
      <c r="O171">
        <v>-23.711719156251092</v>
      </c>
    </row>
    <row r="172" spans="8:15">
      <c r="H172">
        <v>19.539138769072224</v>
      </c>
      <c r="K172">
        <v>8.8234967476196289</v>
      </c>
      <c r="O172">
        <v>-21.517930039855401</v>
      </c>
    </row>
    <row r="173" spans="8:15">
      <c r="H173">
        <v>23.975322815221261</v>
      </c>
      <c r="K173">
        <v>11.301354585131321</v>
      </c>
      <c r="O173">
        <v>-24.93003362553236</v>
      </c>
    </row>
    <row r="174" spans="8:15">
      <c r="H174">
        <v>19.036463770355113</v>
      </c>
      <c r="K174">
        <v>9.3611354443210075</v>
      </c>
      <c r="O174">
        <v>-23.101317307202862</v>
      </c>
    </row>
    <row r="175" spans="8:15">
      <c r="H175">
        <v>23.728494918490469</v>
      </c>
      <c r="K175">
        <v>11.465481845822978</v>
      </c>
      <c r="O175">
        <v>-25.848669127954054</v>
      </c>
    </row>
    <row r="176" spans="8:15">
      <c r="H176">
        <v>25.12278861301229</v>
      </c>
      <c r="K176">
        <v>11.346294550142829</v>
      </c>
      <c r="O176">
        <v>-22.390529358962795</v>
      </c>
    </row>
    <row r="177" spans="8:15">
      <c r="H177">
        <v>27.229758610966655</v>
      </c>
      <c r="K177">
        <v>8.9892682006352516</v>
      </c>
      <c r="O177">
        <v>-23.38470544565098</v>
      </c>
    </row>
    <row r="178" spans="8:15">
      <c r="H178">
        <v>19.828939884249394</v>
      </c>
      <c r="K178">
        <v>10.691059321781267</v>
      </c>
      <c r="O178">
        <v>-24.235062953045144</v>
      </c>
    </row>
    <row r="179" spans="8:15">
      <c r="H179">
        <v>20.365871895044847</v>
      </c>
      <c r="K179">
        <v>11.694028435699693</v>
      </c>
      <c r="O179">
        <v>-24.836925583670563</v>
      </c>
    </row>
    <row r="180" spans="8:15">
      <c r="H180">
        <v>23.37444445283154</v>
      </c>
      <c r="K180">
        <v>11.154290735237737</v>
      </c>
      <c r="O180">
        <v>-21.096283103539463</v>
      </c>
    </row>
    <row r="181" spans="8:15">
      <c r="H181">
        <v>23.968482910289822</v>
      </c>
      <c r="K181">
        <v>6.5366075046667902</v>
      </c>
      <c r="O181">
        <v>-26.705702124465915</v>
      </c>
    </row>
    <row r="182" spans="8:15">
      <c r="H182">
        <v>14.921321018434355</v>
      </c>
      <c r="K182">
        <v>11.596806692114569</v>
      </c>
      <c r="O182">
        <v>-24.357512205287549</v>
      </c>
    </row>
    <row r="183" spans="8:15">
      <c r="H183">
        <v>29.867015921690836</v>
      </c>
      <c r="K183">
        <v>8.9668304940159942</v>
      </c>
      <c r="O183">
        <v>-24.264305257435808</v>
      </c>
    </row>
    <row r="184" spans="8:15">
      <c r="H184">
        <v>16.218790489179355</v>
      </c>
      <c r="K184">
        <v>8.0118376893938148</v>
      </c>
      <c r="O184">
        <v>-23.264188946710874</v>
      </c>
    </row>
    <row r="185" spans="8:15">
      <c r="H185">
        <v>22.559522495162128</v>
      </c>
      <c r="K185">
        <v>10.130290856508509</v>
      </c>
      <c r="O185">
        <v>-24.105746946733234</v>
      </c>
    </row>
    <row r="186" spans="8:15">
      <c r="H186">
        <v>20.533196342308429</v>
      </c>
      <c r="K186">
        <v>7.621557590059183</v>
      </c>
      <c r="O186">
        <v>-22.809894289829572</v>
      </c>
    </row>
    <row r="187" spans="8:15">
      <c r="H187">
        <v>24.096476114505094</v>
      </c>
      <c r="K187">
        <v>7.5792059644581968</v>
      </c>
      <c r="O187">
        <v>-24.246296861106202</v>
      </c>
    </row>
    <row r="188" spans="8:15">
      <c r="H188">
        <v>20.73438144838201</v>
      </c>
      <c r="K188">
        <v>1.5439968818850502</v>
      </c>
      <c r="O188">
        <v>-24.133913907633541</v>
      </c>
    </row>
    <row r="189" spans="8:15">
      <c r="H189">
        <v>19.892467035590471</v>
      </c>
      <c r="K189">
        <v>8.2194468706998123</v>
      </c>
      <c r="O189">
        <v>-22.542354363912182</v>
      </c>
    </row>
    <row r="190" spans="8:15">
      <c r="H190">
        <v>19.288726571744519</v>
      </c>
      <c r="K190">
        <v>7.2501445295201847</v>
      </c>
      <c r="O190">
        <v>-23.744371180409416</v>
      </c>
    </row>
    <row r="191" spans="8:15">
      <c r="H191">
        <v>13.965999798175744</v>
      </c>
      <c r="K191">
        <v>6.4846673810975517</v>
      </c>
      <c r="O191">
        <v>-25.439711397368683</v>
      </c>
    </row>
    <row r="192" spans="8:15">
      <c r="H192">
        <v>15.763984106633416</v>
      </c>
      <c r="K192">
        <v>6.2466024221039333</v>
      </c>
      <c r="O192">
        <v>-23.46127432428284</v>
      </c>
    </row>
    <row r="193" spans="8:15">
      <c r="H193">
        <v>24.267489540946826</v>
      </c>
      <c r="K193">
        <v>10.564138297549562</v>
      </c>
      <c r="O193">
        <v>-26.066611600439501</v>
      </c>
    </row>
    <row r="194" spans="8:15">
      <c r="H194">
        <v>19.869670188631972</v>
      </c>
      <c r="K194">
        <v>10.212369296305496</v>
      </c>
      <c r="O194">
        <v>-23.739119470879359</v>
      </c>
    </row>
    <row r="195" spans="8:15">
      <c r="H195">
        <v>17.415014651419369</v>
      </c>
      <c r="K195">
        <v>7.7327631124130676</v>
      </c>
      <c r="O195">
        <v>-22.380982292672343</v>
      </c>
    </row>
    <row r="196" spans="8:15">
      <c r="H196">
        <v>12.865142359014499</v>
      </c>
      <c r="K196">
        <v>9.5010192094223385</v>
      </c>
      <c r="O196">
        <v>-23.503531025226948</v>
      </c>
    </row>
    <row r="197" spans="8:15">
      <c r="H197">
        <v>22.569671191279895</v>
      </c>
      <c r="K197">
        <v>8.9224519296230937</v>
      </c>
      <c r="O197">
        <v>-24.473833419846869</v>
      </c>
    </row>
    <row r="198" spans="8:15">
      <c r="H198">
        <v>13.434929061727189</v>
      </c>
      <c r="K198">
        <v>8.0255377247481192</v>
      </c>
      <c r="O198">
        <v>-23.204315835600937</v>
      </c>
    </row>
    <row r="199" spans="8:15">
      <c r="H199">
        <v>17.76608998466736</v>
      </c>
      <c r="K199">
        <v>5.8705820128416235</v>
      </c>
      <c r="O199">
        <v>-23.275297297180259</v>
      </c>
    </row>
    <row r="200" spans="8:15">
      <c r="H200">
        <v>17.090532300486302</v>
      </c>
      <c r="K200">
        <v>10.53189192559239</v>
      </c>
      <c r="O200">
        <v>-22.831666179134572</v>
      </c>
    </row>
    <row r="201" spans="8:15">
      <c r="H201">
        <v>15.024015892687203</v>
      </c>
      <c r="K201">
        <v>13.958623150257154</v>
      </c>
      <c r="O201">
        <v>-24.816558123043706</v>
      </c>
    </row>
    <row r="202" spans="8:15">
      <c r="H202">
        <v>18.344415562201448</v>
      </c>
      <c r="K202">
        <v>9.0101314706435005</v>
      </c>
      <c r="O202">
        <v>-23.818867810467054</v>
      </c>
    </row>
    <row r="203" spans="8:15">
      <c r="H203">
        <v>22.316236856696378</v>
      </c>
      <c r="K203">
        <v>8.5554757428685662</v>
      </c>
      <c r="O203">
        <v>-25.668529613854844</v>
      </c>
    </row>
    <row r="204" spans="8:15">
      <c r="H204">
        <v>19.665215147382469</v>
      </c>
      <c r="K204">
        <v>5.3693869312351126</v>
      </c>
      <c r="O204">
        <v>-24.221929658030149</v>
      </c>
    </row>
    <row r="205" spans="8:15">
      <c r="H205">
        <v>19.604626811189064</v>
      </c>
      <c r="K205">
        <v>9.6836510102825741</v>
      </c>
      <c r="O205">
        <v>-25.263392025421581</v>
      </c>
    </row>
    <row r="206" spans="8:15">
      <c r="H206">
        <v>9.8667687678362199</v>
      </c>
      <c r="K206">
        <v>4.2329035617722184</v>
      </c>
      <c r="O206">
        <v>-24.933333006345038</v>
      </c>
    </row>
    <row r="207" spans="8:15">
      <c r="H207">
        <v>10.429437665578462</v>
      </c>
      <c r="K207">
        <v>10.005015031688799</v>
      </c>
      <c r="O207">
        <v>-24.855683898183997</v>
      </c>
    </row>
    <row r="208" spans="8:15">
      <c r="H208">
        <v>22.633241388354463</v>
      </c>
      <c r="K208">
        <v>6.2317654661655979</v>
      </c>
      <c r="O208">
        <v>-20.432982807998542</v>
      </c>
    </row>
    <row r="209" spans="8:15">
      <c r="H209">
        <v>26.02455760345174</v>
      </c>
      <c r="K209">
        <v>12.846221112890817</v>
      </c>
      <c r="O209">
        <v>-24.327253821562408</v>
      </c>
    </row>
    <row r="210" spans="8:15">
      <c r="H210">
        <v>21.540906252139848</v>
      </c>
      <c r="K210">
        <v>11.754164093275904</v>
      </c>
      <c r="O210">
        <v>-21.693116669675874</v>
      </c>
    </row>
    <row r="211" spans="8:15">
      <c r="H211">
        <v>21.493068316307017</v>
      </c>
      <c r="K211">
        <v>13.899032105045535</v>
      </c>
      <c r="O211">
        <v>-22.849287365680539</v>
      </c>
    </row>
    <row r="212" spans="8:15">
      <c r="H212">
        <v>18.791052688166928</v>
      </c>
      <c r="K212">
        <v>6.8291983402064034</v>
      </c>
      <c r="O212">
        <v>-24.160996945244278</v>
      </c>
    </row>
    <row r="213" spans="8:15">
      <c r="H213">
        <v>18.474038013515838</v>
      </c>
      <c r="K213">
        <v>11.098659959428915</v>
      </c>
      <c r="O213">
        <v>-22.220567014183871</v>
      </c>
    </row>
    <row r="214" spans="8:15">
      <c r="H214">
        <v>21.938980594844452</v>
      </c>
      <c r="K214">
        <v>9.9534105603015632</v>
      </c>
      <c r="O214">
        <v>-23.476402016167867</v>
      </c>
    </row>
    <row r="215" spans="8:15">
      <c r="H215">
        <v>19.404162201798954</v>
      </c>
      <c r="K215">
        <v>12.21404068961283</v>
      </c>
      <c r="O215">
        <v>-25.12652276650806</v>
      </c>
    </row>
    <row r="216" spans="8:15">
      <c r="H216">
        <v>20.875217218852868</v>
      </c>
      <c r="K216">
        <v>8.3146309997828212</v>
      </c>
      <c r="O216">
        <v>-23.559101301458668</v>
      </c>
    </row>
    <row r="217" spans="8:15">
      <c r="H217">
        <v>17.633303003293349</v>
      </c>
      <c r="K217">
        <v>9.4017626506738452</v>
      </c>
      <c r="O217">
        <v>-24.925071996401584</v>
      </c>
    </row>
    <row r="218" spans="8:15">
      <c r="H218">
        <v>16.9703417640917</v>
      </c>
      <c r="K218">
        <v>11.963208012255109</v>
      </c>
      <c r="O218">
        <v>-23.865380701978211</v>
      </c>
    </row>
    <row r="219" spans="8:15">
      <c r="H219">
        <v>20.569924043730225</v>
      </c>
      <c r="K219">
        <v>8.3984993092312834</v>
      </c>
      <c r="O219">
        <v>-23.913237202806613</v>
      </c>
    </row>
    <row r="220" spans="8:15">
      <c r="H220">
        <v>24.064431060381594</v>
      </c>
      <c r="K220">
        <v>8.6429165550339349</v>
      </c>
      <c r="O220">
        <v>-23.164200206342684</v>
      </c>
    </row>
    <row r="221" spans="8:15">
      <c r="H221">
        <v>15.445646387821853</v>
      </c>
      <c r="K221">
        <v>10.116624684527324</v>
      </c>
      <c r="O221">
        <v>-24.785879760481293</v>
      </c>
    </row>
    <row r="222" spans="8:15">
      <c r="H222">
        <v>16.731287374380372</v>
      </c>
      <c r="K222">
        <v>10.911662036245161</v>
      </c>
      <c r="O222">
        <v>-24.333641622013602</v>
      </c>
    </row>
    <row r="223" spans="8:15">
      <c r="H223">
        <v>16.921259485078963</v>
      </c>
      <c r="K223">
        <v>10.240477900884343</v>
      </c>
      <c r="O223">
        <v>-25.822083847437625</v>
      </c>
    </row>
    <row r="224" spans="8:15">
      <c r="H224">
        <v>18.176012912345868</v>
      </c>
      <c r="K224">
        <v>12.364486162594858</v>
      </c>
      <c r="O224">
        <v>-25.061457333419185</v>
      </c>
    </row>
    <row r="225" spans="8:15">
      <c r="H225">
        <v>19.863381100720289</v>
      </c>
      <c r="K225">
        <v>10.237089879547057</v>
      </c>
      <c r="O225">
        <v>-25.478609701003734</v>
      </c>
    </row>
    <row r="226" spans="8:15">
      <c r="H226">
        <v>16.80883051270439</v>
      </c>
      <c r="K226">
        <v>9.9644891302359611</v>
      </c>
      <c r="O226">
        <v>-26.790281774642608</v>
      </c>
    </row>
    <row r="227" spans="8:15">
      <c r="H227">
        <v>32.56520472092302</v>
      </c>
      <c r="K227">
        <v>11.234798265104473</v>
      </c>
      <c r="O227">
        <v>-22.744788080157832</v>
      </c>
    </row>
    <row r="228" spans="8:15">
      <c r="H228">
        <v>19.046075951902139</v>
      </c>
      <c r="K228">
        <v>7.8173879099031183</v>
      </c>
      <c r="O228">
        <v>-22.781216335808949</v>
      </c>
    </row>
    <row r="229" spans="8:15">
      <c r="H229">
        <v>17.965687697263547</v>
      </c>
      <c r="K229">
        <v>10.043740328188505</v>
      </c>
      <c r="O229">
        <v>-22.698267928040877</v>
      </c>
    </row>
    <row r="230" spans="8:15">
      <c r="H230">
        <v>20.199027216566719</v>
      </c>
      <c r="K230">
        <v>8.4241465659119967</v>
      </c>
      <c r="O230">
        <v>-23.943959640718276</v>
      </c>
    </row>
    <row r="231" spans="8:15">
      <c r="H231">
        <v>16.093139601617168</v>
      </c>
      <c r="K231">
        <v>8.5091296191817491</v>
      </c>
      <c r="O231">
        <v>-24.490097102597247</v>
      </c>
    </row>
    <row r="232" spans="8:15">
      <c r="H232">
        <v>18.301785194566946</v>
      </c>
      <c r="K232">
        <v>10.121348714752912</v>
      </c>
      <c r="O232">
        <v>-23.315516439360636</v>
      </c>
    </row>
    <row r="233" spans="8:15">
      <c r="H233">
        <v>22.001077365824131</v>
      </c>
      <c r="K233">
        <v>8.5115641089078053</v>
      </c>
      <c r="O233">
        <v>-24.903638526286613</v>
      </c>
    </row>
    <row r="234" spans="8:15">
      <c r="H234">
        <v>16.675028437615765</v>
      </c>
      <c r="K234">
        <v>12.765869829418534</v>
      </c>
      <c r="O234">
        <v>-24.811677417078954</v>
      </c>
    </row>
    <row r="235" spans="8:15">
      <c r="H235">
        <v>21.258315164119722</v>
      </c>
      <c r="K235">
        <v>7.5794442085812079</v>
      </c>
      <c r="O235">
        <v>-23.738555613290373</v>
      </c>
    </row>
    <row r="236" spans="8:15">
      <c r="H236">
        <v>20.914671624076618</v>
      </c>
      <c r="K236">
        <v>11.348785927328663</v>
      </c>
      <c r="O236">
        <v>-22.401100067804236</v>
      </c>
    </row>
    <row r="237" spans="8:15">
      <c r="H237">
        <v>22.242026264359993</v>
      </c>
      <c r="K237">
        <v>9.7365579465249539</v>
      </c>
      <c r="O237">
        <v>-19.899775677366961</v>
      </c>
    </row>
    <row r="238" spans="8:15">
      <c r="H238">
        <v>22.113652327817363</v>
      </c>
      <c r="K238">
        <v>5.9021504694551368</v>
      </c>
      <c r="O238">
        <v>-24.79467765605159</v>
      </c>
    </row>
    <row r="239" spans="8:15">
      <c r="H239">
        <v>38.483341957994526</v>
      </c>
      <c r="K239">
        <v>6.8913720317400475</v>
      </c>
      <c r="O239">
        <v>-25.132787346644818</v>
      </c>
    </row>
    <row r="240" spans="8:15">
      <c r="H240">
        <v>17.600227345632902</v>
      </c>
      <c r="K240">
        <v>3.2856593605683884</v>
      </c>
      <c r="O240">
        <v>-23.381578851200175</v>
      </c>
    </row>
    <row r="241" spans="8:15">
      <c r="H241">
        <v>18.051928590933585</v>
      </c>
      <c r="K241">
        <v>15.340950245089061</v>
      </c>
      <c r="O241">
        <v>-23.624996651873062</v>
      </c>
    </row>
    <row r="242" spans="8:15">
      <c r="H242">
        <v>30.499896571393037</v>
      </c>
      <c r="K242">
        <v>11.366237560719128</v>
      </c>
      <c r="O242">
        <v>-23.159458922816157</v>
      </c>
    </row>
    <row r="243" spans="8:15">
      <c r="H243">
        <v>21.928670835138291</v>
      </c>
      <c r="K243">
        <v>10.500659354798245</v>
      </c>
      <c r="O243">
        <v>-23.797736646730755</v>
      </c>
    </row>
    <row r="244" spans="8:15">
      <c r="H244">
        <v>20.874448470889774</v>
      </c>
      <c r="K244">
        <v>8.8092698720788576</v>
      </c>
      <c r="O244">
        <v>-26.68404354645736</v>
      </c>
    </row>
    <row r="245" spans="8:15">
      <c r="H245">
        <v>15.120373884578385</v>
      </c>
      <c r="K245">
        <v>7.3138363937378017</v>
      </c>
      <c r="O245">
        <v>-23.924002525613105</v>
      </c>
    </row>
    <row r="246" spans="8:15">
      <c r="H246">
        <v>11.298950500812225</v>
      </c>
      <c r="K246">
        <v>9.9476550591789419</v>
      </c>
      <c r="O246">
        <v>-24.193225798006551</v>
      </c>
    </row>
    <row r="247" spans="8:15">
      <c r="H247">
        <v>16.76757623148751</v>
      </c>
      <c r="K247">
        <v>10.448958626575404</v>
      </c>
      <c r="O247">
        <v>-21.416593057145747</v>
      </c>
    </row>
    <row r="248" spans="8:15">
      <c r="H248">
        <v>20.100652678835559</v>
      </c>
      <c r="K248">
        <v>9.8611718728016058</v>
      </c>
      <c r="O248">
        <v>-23.283967766574278</v>
      </c>
    </row>
    <row r="249" spans="8:15">
      <c r="H249">
        <v>24.744414271892765</v>
      </c>
      <c r="K249">
        <v>9.904738421195816</v>
      </c>
      <c r="O249">
        <v>-21.634181102437651</v>
      </c>
    </row>
    <row r="250" spans="8:15">
      <c r="H250">
        <v>21.192639149857314</v>
      </c>
      <c r="K250">
        <v>4.6318630439131994</v>
      </c>
      <c r="O250">
        <v>-22.797967588274332</v>
      </c>
    </row>
    <row r="251" spans="8:15">
      <c r="H251">
        <v>8.0128373741154064</v>
      </c>
      <c r="K251">
        <v>6.7294436666020374</v>
      </c>
      <c r="O251">
        <v>-26.635893786905854</v>
      </c>
    </row>
    <row r="252" spans="8:15">
      <c r="H252">
        <v>23.691212638424304</v>
      </c>
      <c r="K252">
        <v>9.7488164753499404</v>
      </c>
      <c r="O252">
        <v>-21.134061983625998</v>
      </c>
    </row>
    <row r="253" spans="8:15">
      <c r="H253">
        <v>20.869719186106522</v>
      </c>
      <c r="K253">
        <v>9.9348992939317213</v>
      </c>
      <c r="O253">
        <v>-22.819627713126465</v>
      </c>
    </row>
    <row r="254" spans="8:15">
      <c r="H254">
        <v>15.39879835568172</v>
      </c>
      <c r="K254">
        <v>12.292657282328037</v>
      </c>
      <c r="O254">
        <v>-21.364760744074374</v>
      </c>
    </row>
    <row r="255" spans="8:15">
      <c r="H255">
        <v>25.510785874211706</v>
      </c>
      <c r="K255">
        <v>18.39836539402495</v>
      </c>
      <c r="O255">
        <v>-23.266523835933185</v>
      </c>
    </row>
    <row r="256" spans="8:15">
      <c r="H256">
        <v>12.782078819551771</v>
      </c>
      <c r="K256">
        <v>7.0203471187182913</v>
      </c>
      <c r="O256">
        <v>-21.336598257789319</v>
      </c>
    </row>
    <row r="257" spans="8:15">
      <c r="H257">
        <v>19.789197543208047</v>
      </c>
      <c r="K257">
        <v>8.8566772535878044</v>
      </c>
      <c r="O257">
        <v>-24.095868501737186</v>
      </c>
    </row>
    <row r="258" spans="8:15">
      <c r="H258">
        <v>19.534415820731738</v>
      </c>
      <c r="K258">
        <v>8.6856725652528439</v>
      </c>
      <c r="O258">
        <v>-24.887784835057573</v>
      </c>
    </row>
    <row r="259" spans="8:15">
      <c r="H259">
        <v>26.178864630831868</v>
      </c>
      <c r="K259">
        <v>7.1214169705190216</v>
      </c>
      <c r="O259">
        <v>-21.591068018065016</v>
      </c>
    </row>
    <row r="260" spans="8:15">
      <c r="H260">
        <v>21.131420711670671</v>
      </c>
      <c r="K260">
        <v>4.2719301227029973</v>
      </c>
      <c r="O260">
        <v>-22.823571102867845</v>
      </c>
    </row>
    <row r="261" spans="8:15">
      <c r="H261">
        <v>17.45228514063183</v>
      </c>
      <c r="K261">
        <v>13.046114584541556</v>
      </c>
      <c r="O261">
        <v>-22.015640450076717</v>
      </c>
    </row>
    <row r="262" spans="8:15">
      <c r="H262">
        <v>18.096603844443507</v>
      </c>
      <c r="K262">
        <v>10.623800998954266</v>
      </c>
      <c r="O262">
        <v>-26.045580101481391</v>
      </c>
    </row>
    <row r="263" spans="8:15">
      <c r="H263">
        <v>15.83138118396846</v>
      </c>
      <c r="K263">
        <v>6.7806448400824593</v>
      </c>
      <c r="O263">
        <v>-22.912700942126776</v>
      </c>
    </row>
    <row r="264" spans="8:15">
      <c r="H264">
        <v>8.4701671132979754</v>
      </c>
      <c r="K264">
        <v>10.789330339901426</v>
      </c>
      <c r="O264">
        <v>-23.137987800287647</v>
      </c>
    </row>
    <row r="265" spans="8:15">
      <c r="H265">
        <v>24.845920332670175</v>
      </c>
      <c r="K265">
        <v>10.804794868157387</v>
      </c>
      <c r="O265">
        <v>-25.906902810677366</v>
      </c>
    </row>
    <row r="266" spans="8:15">
      <c r="H266">
        <v>30.066636201260735</v>
      </c>
      <c r="K266">
        <v>11.577866369403182</v>
      </c>
      <c r="O266">
        <v>-22.436135633051435</v>
      </c>
    </row>
    <row r="267" spans="8:15">
      <c r="H267">
        <v>25.268761041695598</v>
      </c>
      <c r="K267">
        <v>11.318413811671235</v>
      </c>
      <c r="O267">
        <v>-22.294868662384488</v>
      </c>
    </row>
    <row r="268" spans="8:15">
      <c r="H268">
        <v>23.531462293585491</v>
      </c>
      <c r="K268">
        <v>7.1555441178843466</v>
      </c>
      <c r="O268">
        <v>-23.716701047912011</v>
      </c>
    </row>
    <row r="269" spans="8:15">
      <c r="H269">
        <v>21.75350695502334</v>
      </c>
      <c r="K269">
        <v>10.643311201691631</v>
      </c>
      <c r="O269">
        <v>-24.028982387839733</v>
      </c>
    </row>
    <row r="270" spans="8:15">
      <c r="H270">
        <v>20.911491075337835</v>
      </c>
      <c r="K270">
        <v>4.830414012674737</v>
      </c>
      <c r="O270">
        <v>-23.341053463109347</v>
      </c>
    </row>
    <row r="271" spans="8:15">
      <c r="H271">
        <v>20.959661948945268</v>
      </c>
      <c r="K271">
        <v>6.8750633116501376</v>
      </c>
      <c r="O271">
        <v>-25.289957283102467</v>
      </c>
    </row>
    <row r="272" spans="8:15">
      <c r="H272">
        <v>13.255877961305487</v>
      </c>
      <c r="K272">
        <v>9.7257008099873019</v>
      </c>
      <c r="O272">
        <v>-25.978327718232322</v>
      </c>
    </row>
    <row r="273" spans="8:15">
      <c r="H273">
        <v>15.874607190750794</v>
      </c>
      <c r="K273">
        <v>10.967911070965783</v>
      </c>
      <c r="O273">
        <v>-22.575061708361318</v>
      </c>
    </row>
    <row r="274" spans="8:15">
      <c r="H274">
        <v>16.90624484692944</v>
      </c>
      <c r="K274">
        <v>10.351610828827233</v>
      </c>
      <c r="O274">
        <v>-22.519506079707753</v>
      </c>
    </row>
    <row r="275" spans="8:15">
      <c r="H275">
        <v>18.939911675078747</v>
      </c>
      <c r="K275">
        <v>8.5775761146178411</v>
      </c>
      <c r="O275">
        <v>-23.544912098555415</v>
      </c>
    </row>
    <row r="276" spans="8:15">
      <c r="H276">
        <v>20.24626060008768</v>
      </c>
      <c r="K276">
        <v>5.1537174615191361</v>
      </c>
      <c r="O276">
        <v>-23.591713050272119</v>
      </c>
    </row>
    <row r="277" spans="8:15">
      <c r="H277">
        <v>21.22788309188536</v>
      </c>
      <c r="K277">
        <v>5.6727787037239068</v>
      </c>
      <c r="O277">
        <v>-24.635487762462162</v>
      </c>
    </row>
    <row r="278" spans="8:15">
      <c r="H278">
        <v>19.578349720759434</v>
      </c>
      <c r="K278">
        <v>10.034947511629525</v>
      </c>
      <c r="O278">
        <v>-21.577153067043128</v>
      </c>
    </row>
    <row r="279" spans="8:15">
      <c r="H279">
        <v>19.487704051441597</v>
      </c>
      <c r="K279">
        <v>9.1963220226289195</v>
      </c>
      <c r="O279">
        <v>-28.155959654417529</v>
      </c>
    </row>
    <row r="280" spans="8:15">
      <c r="H280">
        <v>19.671007010522317</v>
      </c>
      <c r="K280">
        <v>10.717652249089497</v>
      </c>
      <c r="O280">
        <v>-24.170730413759429</v>
      </c>
    </row>
    <row r="281" spans="8:15">
      <c r="H281">
        <v>16.444316050635734</v>
      </c>
      <c r="K281">
        <v>11.969414821190185</v>
      </c>
      <c r="O281">
        <v>-24.935341423057707</v>
      </c>
    </row>
    <row r="282" spans="8:15">
      <c r="H282">
        <v>17.855068273222969</v>
      </c>
      <c r="K282">
        <v>7.2426291892916197</v>
      </c>
      <c r="O282">
        <v>-26.21525930150392</v>
      </c>
    </row>
    <row r="283" spans="8:15">
      <c r="H283">
        <v>22.35719759822814</v>
      </c>
      <c r="K283">
        <v>10.48282833885969</v>
      </c>
      <c r="O283">
        <v>-22.169842285752566</v>
      </c>
    </row>
    <row r="284" spans="8:15">
      <c r="H284">
        <v>22.136443577786849</v>
      </c>
      <c r="K284">
        <v>7.7560527667169481</v>
      </c>
      <c r="O284">
        <v>-23.367756219241983</v>
      </c>
    </row>
    <row r="285" spans="8:15">
      <c r="H285">
        <v>25.022635204566086</v>
      </c>
      <c r="K285">
        <v>7.8965862321160785</v>
      </c>
      <c r="O285">
        <v>-24.552464905529177</v>
      </c>
    </row>
    <row r="286" spans="8:15">
      <c r="H286">
        <v>16.994322582050245</v>
      </c>
      <c r="K286">
        <v>6.9076563442622501</v>
      </c>
      <c r="O286">
        <v>-21.885527593323332</v>
      </c>
    </row>
    <row r="287" spans="8:15">
      <c r="H287">
        <v>17.13792096233351</v>
      </c>
      <c r="K287">
        <v>8.0178843613043682</v>
      </c>
      <c r="O287">
        <v>-23.905624476215053</v>
      </c>
    </row>
    <row r="288" spans="8:15">
      <c r="H288">
        <v>29.982025880183755</v>
      </c>
      <c r="K288">
        <v>8.5305764924892173</v>
      </c>
      <c r="O288">
        <v>-26.123792026269712</v>
      </c>
    </row>
    <row r="289" spans="8:15">
      <c r="H289">
        <v>12.960735839752488</v>
      </c>
      <c r="K289">
        <v>7.8132626033557244</v>
      </c>
      <c r="O289">
        <v>-24.21215479663806</v>
      </c>
    </row>
    <row r="290" spans="8:15">
      <c r="H290">
        <v>23.089437005653053</v>
      </c>
      <c r="K290">
        <v>11.928456873588857</v>
      </c>
      <c r="O290">
        <v>-22.844326136695145</v>
      </c>
    </row>
    <row r="291" spans="8:15">
      <c r="H291">
        <v>15.62558257979299</v>
      </c>
      <c r="K291">
        <v>8.756770451067041</v>
      </c>
      <c r="O291">
        <v>-20.794039214723853</v>
      </c>
    </row>
    <row r="292" spans="8:15">
      <c r="H292">
        <v>21.948544553729789</v>
      </c>
      <c r="K292">
        <v>8.3722245915141684</v>
      </c>
      <c r="O292">
        <v>-22.945776790874334</v>
      </c>
    </row>
    <row r="293" spans="8:15">
      <c r="H293">
        <v>20.729835168579484</v>
      </c>
      <c r="K293">
        <v>10.020864009982688</v>
      </c>
      <c r="O293">
        <v>-23.840886137499183</v>
      </c>
    </row>
    <row r="294" spans="8:15">
      <c r="H294">
        <v>23.410066428703885</v>
      </c>
      <c r="K294">
        <v>8.0433774809926035</v>
      </c>
      <c r="O294">
        <v>-24.495854082308142</v>
      </c>
    </row>
    <row r="295" spans="8:15">
      <c r="H295">
        <v>17.831308979885762</v>
      </c>
      <c r="K295">
        <v>8.782037571319961</v>
      </c>
      <c r="O295">
        <v>-22.581436544820463</v>
      </c>
    </row>
    <row r="296" spans="8:15">
      <c r="H296">
        <v>19.392231760468803</v>
      </c>
      <c r="K296">
        <v>7.1589326057246581</v>
      </c>
      <c r="O296">
        <v>-22.491914412426922</v>
      </c>
    </row>
    <row r="297" spans="8:15">
      <c r="H297">
        <v>10.478876261749519</v>
      </c>
      <c r="K297">
        <v>12.245024388568254</v>
      </c>
      <c r="O297">
        <v>-24.01103117386765</v>
      </c>
    </row>
    <row r="298" spans="8:15">
      <c r="H298">
        <v>18.428476258156024</v>
      </c>
      <c r="K298">
        <v>5.4685884321706908</v>
      </c>
      <c r="O298">
        <v>-21.865549971441851</v>
      </c>
    </row>
    <row r="299" spans="8:15">
      <c r="H299">
        <v>21.452782356150237</v>
      </c>
      <c r="K299">
        <v>4.0557544981643332</v>
      </c>
      <c r="O299">
        <v>-25.260507125281947</v>
      </c>
    </row>
    <row r="300" spans="8:15">
      <c r="H300">
        <v>17.031588384674478</v>
      </c>
      <c r="K300">
        <v>8.4661761562128959</v>
      </c>
      <c r="O300">
        <v>-24.692771960502796</v>
      </c>
    </row>
    <row r="301" spans="8:15">
      <c r="H301">
        <v>20.004363058175613</v>
      </c>
      <c r="K301">
        <v>8.9493193693829198</v>
      </c>
      <c r="O301">
        <v>-24.576754546282245</v>
      </c>
    </row>
    <row r="302" spans="8:15">
      <c r="H302">
        <v>18.3755045696048</v>
      </c>
      <c r="K302">
        <v>11.634344969539143</v>
      </c>
      <c r="O302">
        <v>-24.671458458902634</v>
      </c>
    </row>
    <row r="303" spans="8:15">
      <c r="H303">
        <v>17.219398957197654</v>
      </c>
      <c r="K303">
        <v>6.5854618147423025</v>
      </c>
      <c r="O303">
        <v>-25.556694872331718</v>
      </c>
    </row>
    <row r="304" spans="8:15">
      <c r="H304">
        <v>24.149891955340081</v>
      </c>
      <c r="K304">
        <v>11.444784027901278</v>
      </c>
      <c r="O304">
        <v>-25.369120647885666</v>
      </c>
    </row>
    <row r="305" spans="8:15">
      <c r="H305">
        <v>23.378741401402522</v>
      </c>
      <c r="K305">
        <v>8.2803870582320087</v>
      </c>
      <c r="O305">
        <v>-24.0208674607793</v>
      </c>
    </row>
    <row r="306" spans="8:15">
      <c r="H306">
        <v>14.118838909921578</v>
      </c>
      <c r="K306">
        <v>6.1861526271782168</v>
      </c>
      <c r="O306">
        <v>-23.969442502225775</v>
      </c>
    </row>
    <row r="307" spans="8:15">
      <c r="H307">
        <v>18.56785256903413</v>
      </c>
      <c r="K307">
        <v>10.072704619863543</v>
      </c>
      <c r="O307">
        <v>-24.525132572802704</v>
      </c>
    </row>
    <row r="308" spans="8:15">
      <c r="H308">
        <v>12.159014592050653</v>
      </c>
      <c r="K308">
        <v>9.1017185250866532</v>
      </c>
      <c r="O308">
        <v>-23.996092139002485</v>
      </c>
    </row>
    <row r="309" spans="8:15">
      <c r="H309">
        <v>7.5064994371559806</v>
      </c>
      <c r="K309">
        <v>10.299674327603498</v>
      </c>
      <c r="O309">
        <v>-26.498340384698167</v>
      </c>
    </row>
    <row r="310" spans="8:15">
      <c r="H310">
        <v>13.164031368120959</v>
      </c>
      <c r="K310">
        <v>6.9072509445236392</v>
      </c>
      <c r="O310">
        <v>-24.436670289787344</v>
      </c>
    </row>
    <row r="311" spans="8:15">
      <c r="H311">
        <v>20.29877971678502</v>
      </c>
      <c r="K311">
        <v>11.580338929852587</v>
      </c>
      <c r="O311">
        <v>-24.742421984554312</v>
      </c>
    </row>
    <row r="312" spans="8:15">
      <c r="H312">
        <v>25.482673927313044</v>
      </c>
      <c r="K312">
        <v>6.9916668328851301</v>
      </c>
      <c r="O312">
        <v>-22.925373313250475</v>
      </c>
    </row>
    <row r="313" spans="8:15">
      <c r="H313">
        <v>20.930310903977897</v>
      </c>
      <c r="K313">
        <v>8.2218438129193601</v>
      </c>
      <c r="O313">
        <v>-24.894614323333826</v>
      </c>
    </row>
    <row r="314" spans="8:15">
      <c r="H314">
        <v>20.531839054866396</v>
      </c>
      <c r="K314">
        <v>6.7117973455638094</v>
      </c>
      <c r="O314">
        <v>-23.16021418735636</v>
      </c>
    </row>
    <row r="315" spans="8:15">
      <c r="H315">
        <v>21.529760627673113</v>
      </c>
      <c r="K315">
        <v>4.8419567393029865</v>
      </c>
      <c r="O315">
        <v>-26.149263587805763</v>
      </c>
    </row>
    <row r="316" spans="8:15">
      <c r="H316">
        <v>20.281397070887124</v>
      </c>
      <c r="K316">
        <v>4.1757284942818842</v>
      </c>
      <c r="O316">
        <v>-23.901069956320498</v>
      </c>
    </row>
    <row r="317" spans="8:15">
      <c r="H317">
        <v>21.625429818973089</v>
      </c>
      <c r="K317">
        <v>13.410734702292757</v>
      </c>
      <c r="O317">
        <v>-24.617822433970559</v>
      </c>
    </row>
    <row r="318" spans="8:15">
      <c r="H318">
        <v>31.263474576229783</v>
      </c>
      <c r="K318">
        <v>5.3461883437225879</v>
      </c>
      <c r="O318">
        <v>-24.556403665080325</v>
      </c>
    </row>
    <row r="319" spans="8:15">
      <c r="H319">
        <v>21.089294671311791</v>
      </c>
      <c r="K319">
        <v>10.147306352947453</v>
      </c>
      <c r="O319">
        <v>-24.425215874420246</v>
      </c>
    </row>
    <row r="320" spans="8:15">
      <c r="H320">
        <v>19.753280121543185</v>
      </c>
      <c r="K320">
        <v>9.0169438495763643</v>
      </c>
      <c r="O320">
        <v>-21.921468388266021</v>
      </c>
    </row>
    <row r="321" spans="8:15">
      <c r="H321">
        <v>29.852311346571696</v>
      </c>
      <c r="K321">
        <v>8.442462253661688</v>
      </c>
      <c r="O321">
        <v>-23.623262583372707</v>
      </c>
    </row>
    <row r="322" spans="8:15">
      <c r="H322">
        <v>17.895814883617504</v>
      </c>
      <c r="K322">
        <v>8.6400574206199963</v>
      </c>
      <c r="O322">
        <v>-26.070972679885926</v>
      </c>
    </row>
    <row r="323" spans="8:15">
      <c r="H323">
        <v>16.806334695626902</v>
      </c>
      <c r="K323">
        <v>10.313171396283906</v>
      </c>
      <c r="O323">
        <v>-24.375037113006783</v>
      </c>
    </row>
    <row r="324" spans="8:15">
      <c r="H324">
        <v>12.865169247372478</v>
      </c>
      <c r="K324">
        <v>9.6622680222940289</v>
      </c>
      <c r="O324">
        <v>-25.398018868164854</v>
      </c>
    </row>
    <row r="325" spans="8:15">
      <c r="H325">
        <v>19.662421560387429</v>
      </c>
      <c r="K325">
        <v>9.1539898523583361</v>
      </c>
      <c r="O325">
        <v>-22.958016954823506</v>
      </c>
    </row>
    <row r="326" spans="8:15">
      <c r="H326">
        <v>13.400257889847126</v>
      </c>
      <c r="K326">
        <v>13.407084269895222</v>
      </c>
      <c r="O326">
        <v>-23.560503994812279</v>
      </c>
    </row>
    <row r="327" spans="8:15">
      <c r="H327">
        <v>24.239254594652266</v>
      </c>
      <c r="K327">
        <v>5.8368386341217047</v>
      </c>
      <c r="O327">
        <v>-23.469337916134918</v>
      </c>
    </row>
    <row r="328" spans="8:15">
      <c r="H328">
        <v>12.856229598277878</v>
      </c>
      <c r="K328">
        <v>10.874798694737819</v>
      </c>
      <c r="O328">
        <v>-22.734674235008697</v>
      </c>
    </row>
    <row r="329" spans="8:15">
      <c r="H329">
        <v>19.475923755434906</v>
      </c>
      <c r="K329">
        <v>8.8945850944969607</v>
      </c>
      <c r="O329">
        <v>-22.433941250477801</v>
      </c>
    </row>
    <row r="330" spans="8:15">
      <c r="H330">
        <v>20.519510205990173</v>
      </c>
      <c r="K330">
        <v>6.3720920259743252</v>
      </c>
      <c r="O330">
        <v>-24.262815730826787</v>
      </c>
    </row>
    <row r="331" spans="8:15">
      <c r="H331">
        <v>17.893337488961151</v>
      </c>
      <c r="K331">
        <v>8.0728869816684892</v>
      </c>
      <c r="O331">
        <v>-22.207390591674994</v>
      </c>
    </row>
    <row r="332" spans="8:15">
      <c r="H332">
        <v>20.773157945120602</v>
      </c>
      <c r="K332">
        <v>8.6353732614293222</v>
      </c>
      <c r="O332">
        <v>-22.927116707367531</v>
      </c>
    </row>
    <row r="333" spans="8:15">
      <c r="H333">
        <v>16.856590293758927</v>
      </c>
      <c r="K333">
        <v>13.962447409092874</v>
      </c>
      <c r="O333">
        <v>-26.330810396198558</v>
      </c>
    </row>
    <row r="334" spans="8:15">
      <c r="H334">
        <v>33.41320489754662</v>
      </c>
      <c r="K334">
        <v>11.018270584788752</v>
      </c>
      <c r="O334">
        <v>-22.70666871864114</v>
      </c>
    </row>
    <row r="335" spans="8:15">
      <c r="H335">
        <v>29.865548355001465</v>
      </c>
      <c r="K335">
        <v>13.145640793501116</v>
      </c>
      <c r="O335">
        <v>-24.717243042208793</v>
      </c>
    </row>
    <row r="336" spans="8:15">
      <c r="H336">
        <v>24.067480595682355</v>
      </c>
      <c r="K336">
        <v>10.93257223666069</v>
      </c>
      <c r="O336">
        <v>-24.36241597748085</v>
      </c>
    </row>
    <row r="337" spans="8:15">
      <c r="H337">
        <v>18.15429718392943</v>
      </c>
      <c r="K337">
        <v>9.8077343492823275</v>
      </c>
      <c r="O337">
        <v>-21.363287450726602</v>
      </c>
    </row>
    <row r="338" spans="8:15">
      <c r="H338">
        <v>14.137297235199185</v>
      </c>
      <c r="K338">
        <v>9.2203007454709223</v>
      </c>
      <c r="O338">
        <v>-20.432288732233701</v>
      </c>
    </row>
    <row r="339" spans="8:15">
      <c r="H339">
        <v>24.676687700120283</v>
      </c>
      <c r="K339">
        <v>16.084745956855841</v>
      </c>
      <c r="O339">
        <v>-24.069147505687397</v>
      </c>
    </row>
    <row r="340" spans="8:15">
      <c r="H340">
        <v>18.640410865604281</v>
      </c>
      <c r="K340">
        <v>7.1196170705247823</v>
      </c>
      <c r="O340">
        <v>-20.597782224410366</v>
      </c>
    </row>
    <row r="341" spans="8:15">
      <c r="H341">
        <v>12.608278318455632</v>
      </c>
      <c r="K341">
        <v>8.5810022139812645</v>
      </c>
      <c r="O341">
        <v>-23.976538174688812</v>
      </c>
    </row>
    <row r="342" spans="8:15">
      <c r="H342">
        <v>18.738173291944804</v>
      </c>
      <c r="K342">
        <v>9.0821415048726521</v>
      </c>
      <c r="O342">
        <v>-23.770416030989054</v>
      </c>
    </row>
    <row r="343" spans="8:15">
      <c r="H343">
        <v>17.274646845112784</v>
      </c>
      <c r="K343">
        <v>7.3198243041811111</v>
      </c>
      <c r="O343">
        <v>-23.254406848978306</v>
      </c>
    </row>
    <row r="344" spans="8:15">
      <c r="H344">
        <v>18.169213640725957</v>
      </c>
      <c r="K344">
        <v>11.800633699829177</v>
      </c>
      <c r="O344">
        <v>-24.713492772945301</v>
      </c>
    </row>
    <row r="345" spans="8:15">
      <c r="H345">
        <v>13.293183142795442</v>
      </c>
      <c r="K345">
        <v>9.9892951752040062</v>
      </c>
      <c r="O345">
        <v>-22.059251965366002</v>
      </c>
    </row>
    <row r="346" spans="8:15">
      <c r="H346">
        <v>25.342688234532034</v>
      </c>
      <c r="K346">
        <v>9.2010926262837529</v>
      </c>
      <c r="O346">
        <v>-24.95624323271204</v>
      </c>
    </row>
    <row r="347" spans="8:15">
      <c r="H347">
        <v>27.476614773546089</v>
      </c>
      <c r="K347">
        <v>10.554529329423076</v>
      </c>
      <c r="O347">
        <v>-23.639720803200817</v>
      </c>
    </row>
    <row r="348" spans="8:15">
      <c r="H348">
        <v>24.201491861337672</v>
      </c>
      <c r="K348">
        <v>11.150544035066105</v>
      </c>
      <c r="O348">
        <v>-22.482073362092251</v>
      </c>
    </row>
    <row r="349" spans="8:15">
      <c r="H349">
        <v>22.600978148205741</v>
      </c>
      <c r="K349">
        <v>12.860316322779909</v>
      </c>
      <c r="O349">
        <v>-22.852883344834027</v>
      </c>
    </row>
    <row r="350" spans="8:15">
      <c r="H350">
        <v>23.77893410226261</v>
      </c>
      <c r="K350">
        <v>10.646726657042564</v>
      </c>
      <c r="O350">
        <v>-25.730960372056416</v>
      </c>
    </row>
    <row r="351" spans="8:15">
      <c r="H351">
        <v>25.856941529892083</v>
      </c>
      <c r="K351">
        <v>10.32646480476842</v>
      </c>
      <c r="O351">
        <v>-22.203495171355826</v>
      </c>
    </row>
    <row r="352" spans="8:15">
      <c r="H352">
        <v>17.616708778739394</v>
      </c>
      <c r="K352">
        <v>9.7964089292599965</v>
      </c>
      <c r="O352">
        <v>-24.701848253323078</v>
      </c>
    </row>
    <row r="353" spans="8:15">
      <c r="H353">
        <v>29.968257444756091</v>
      </c>
      <c r="K353">
        <v>9.9073940375287748</v>
      </c>
      <c r="O353">
        <v>-23.684906068421242</v>
      </c>
    </row>
    <row r="354" spans="8:15">
      <c r="H354">
        <v>19.845856050078055</v>
      </c>
      <c r="K354">
        <v>4.4783976267299295</v>
      </c>
      <c r="O354">
        <v>-24.8875481491541</v>
      </c>
    </row>
    <row r="355" spans="8:15">
      <c r="H355">
        <v>15.679933904743166</v>
      </c>
      <c r="K355">
        <v>6.7679923404898545</v>
      </c>
      <c r="O355">
        <v>-24.966328465580773</v>
      </c>
    </row>
    <row r="356" spans="8:15">
      <c r="H356">
        <v>21.665929362810402</v>
      </c>
      <c r="K356">
        <v>8.3779581967460217</v>
      </c>
      <c r="O356">
        <v>-23.733710666694606</v>
      </c>
    </row>
    <row r="357" spans="8:15">
      <c r="H357">
        <v>22.572529271695885</v>
      </c>
      <c r="K357">
        <v>15.045704629900229</v>
      </c>
      <c r="O357">
        <v>-24.665697512365114</v>
      </c>
    </row>
    <row r="358" spans="8:15">
      <c r="H358">
        <v>19.523132828640428</v>
      </c>
      <c r="K358">
        <v>10.399604824847756</v>
      </c>
      <c r="O358">
        <v>-24.032893020871597</v>
      </c>
    </row>
    <row r="359" spans="8:15">
      <c r="H359">
        <v>25.146366779123127</v>
      </c>
      <c r="K359">
        <v>11.12230812826283</v>
      </c>
      <c r="O359">
        <v>-23.61457055894607</v>
      </c>
    </row>
    <row r="360" spans="8:15">
      <c r="H360">
        <v>25.982702961639006</v>
      </c>
      <c r="K360">
        <v>11.032667421593942</v>
      </c>
      <c r="O360">
        <v>-22.289100062170291</v>
      </c>
    </row>
    <row r="361" spans="8:15">
      <c r="H361">
        <v>15.322412433533373</v>
      </c>
      <c r="K361">
        <v>7.3954077583875915</v>
      </c>
      <c r="O361">
        <v>-23.84757911093584</v>
      </c>
    </row>
    <row r="362" spans="8:15">
      <c r="H362">
        <v>21.965383242064036</v>
      </c>
      <c r="K362">
        <v>8.426436949249819</v>
      </c>
      <c r="O362">
        <v>-24.788564277899695</v>
      </c>
    </row>
    <row r="363" spans="8:15">
      <c r="H363">
        <v>19.973939896381808</v>
      </c>
      <c r="K363">
        <v>11.124444554718593</v>
      </c>
      <c r="O363">
        <v>-23.495518133025598</v>
      </c>
    </row>
    <row r="364" spans="8:15">
      <c r="H364">
        <v>13.621409652703733</v>
      </c>
      <c r="K364">
        <v>10.675668736090302</v>
      </c>
      <c r="O364">
        <v>-25.36868000133336</v>
      </c>
    </row>
    <row r="365" spans="8:15">
      <c r="H365">
        <v>28.199551007897298</v>
      </c>
      <c r="K365">
        <v>10.911485056458332</v>
      </c>
      <c r="O365">
        <v>-21.646248797210319</v>
      </c>
    </row>
    <row r="366" spans="8:15">
      <c r="H366">
        <v>11.941181465581394</v>
      </c>
      <c r="K366">
        <v>8.6960512009245576</v>
      </c>
      <c r="O366">
        <v>-23.547362644986606</v>
      </c>
    </row>
    <row r="367" spans="8:15">
      <c r="H367">
        <v>15.457024281135091</v>
      </c>
      <c r="K367">
        <v>10.063306034568996</v>
      </c>
      <c r="O367">
        <v>-25.948775654161636</v>
      </c>
    </row>
    <row r="368" spans="8:15">
      <c r="H368">
        <v>21.85267037645508</v>
      </c>
      <c r="K368">
        <v>8.9090114412911134</v>
      </c>
      <c r="O368">
        <v>-24.877104561668148</v>
      </c>
    </row>
    <row r="369" spans="8:15">
      <c r="H369">
        <v>22.90084945086619</v>
      </c>
      <c r="K369">
        <v>8.4919794965353503</v>
      </c>
      <c r="O369">
        <v>-25.183933781034739</v>
      </c>
    </row>
    <row r="370" spans="8:15">
      <c r="H370">
        <v>23.180429805896893</v>
      </c>
      <c r="K370">
        <v>7.4874472905212315</v>
      </c>
      <c r="O370">
        <v>-23.935748333845822</v>
      </c>
    </row>
    <row r="371" spans="8:15">
      <c r="H371">
        <v>19.643725429119513</v>
      </c>
      <c r="K371">
        <v>11.182693086159816</v>
      </c>
      <c r="O371">
        <v>-23.570300817880252</v>
      </c>
    </row>
    <row r="372" spans="8:15">
      <c r="H372">
        <v>19.555439162407765</v>
      </c>
      <c r="K372">
        <v>10.192735840633759</v>
      </c>
      <c r="O372">
        <v>-24.041338225454638</v>
      </c>
    </row>
    <row r="373" spans="8:15">
      <c r="H373">
        <v>13.92613423131661</v>
      </c>
      <c r="K373">
        <v>14.048603971284592</v>
      </c>
      <c r="O373">
        <v>-25.255898700776925</v>
      </c>
    </row>
    <row r="374" spans="8:15">
      <c r="H374">
        <v>16.537768252536353</v>
      </c>
      <c r="K374">
        <v>8.6834988475438877</v>
      </c>
      <c r="O374">
        <v>-20.676431374934509</v>
      </c>
    </row>
    <row r="375" spans="8:15">
      <c r="H375">
        <v>23.157164035246296</v>
      </c>
      <c r="K375">
        <v>7.900208708801074</v>
      </c>
      <c r="O375">
        <v>-22.429587434881341</v>
      </c>
    </row>
    <row r="376" spans="8:15">
      <c r="H376">
        <v>18.629860751650085</v>
      </c>
      <c r="K376">
        <v>8.0442659393033864</v>
      </c>
      <c r="O376">
        <v>-23.257889931907357</v>
      </c>
    </row>
    <row r="377" spans="8:15">
      <c r="H377">
        <v>24.740938189866029</v>
      </c>
      <c r="K377">
        <v>10.811624865066278</v>
      </c>
      <c r="O377">
        <v>-24.884268624166907</v>
      </c>
    </row>
    <row r="378" spans="8:15">
      <c r="H378">
        <v>17.896783809005228</v>
      </c>
      <c r="K378">
        <v>7.1268571974155748</v>
      </c>
      <c r="O378">
        <v>-24.088578917731411</v>
      </c>
    </row>
    <row r="379" spans="8:15">
      <c r="H379">
        <v>22.177777695606437</v>
      </c>
      <c r="K379">
        <v>9.4395918088316648</v>
      </c>
      <c r="O379">
        <v>-25.162069558931762</v>
      </c>
    </row>
    <row r="380" spans="8:15">
      <c r="H380">
        <v>19.463910695909362</v>
      </c>
      <c r="K380">
        <v>6.8575615244394612</v>
      </c>
      <c r="O380">
        <v>-23.117756108148569</v>
      </c>
    </row>
    <row r="381" spans="8:15">
      <c r="H381">
        <v>20.637833453539315</v>
      </c>
      <c r="K381">
        <v>10.60784945647265</v>
      </c>
      <c r="O381">
        <v>-25.077223261394465</v>
      </c>
    </row>
    <row r="382" spans="8:15">
      <c r="H382">
        <v>15.802233253275972</v>
      </c>
      <c r="K382">
        <v>8.6806921899396912</v>
      </c>
      <c r="O382">
        <v>-23.970034186481826</v>
      </c>
    </row>
    <row r="383" spans="8:15">
      <c r="H383">
        <v>15.308639027823119</v>
      </c>
      <c r="K383">
        <v>4.7238459658960892</v>
      </c>
      <c r="O383">
        <v>-23.798076509942348</v>
      </c>
    </row>
    <row r="384" spans="8:15">
      <c r="H384">
        <v>27.096631885413899</v>
      </c>
      <c r="K384">
        <v>7.3343564881201928</v>
      </c>
      <c r="O384">
        <v>-24.29200943305068</v>
      </c>
    </row>
    <row r="385" spans="8:15">
      <c r="H385">
        <v>17.284485464223053</v>
      </c>
      <c r="K385">
        <v>10.534095908437394</v>
      </c>
      <c r="O385">
        <v>-21.084752031553307</v>
      </c>
    </row>
    <row r="386" spans="8:15">
      <c r="H386">
        <v>26.349045874813783</v>
      </c>
      <c r="K386">
        <v>8.3936660658996516</v>
      </c>
      <c r="O386">
        <v>-21.77055068863001</v>
      </c>
    </row>
    <row r="387" spans="8:15">
      <c r="H387">
        <v>20.224561950647285</v>
      </c>
      <c r="K387">
        <v>8.4886925499104109</v>
      </c>
      <c r="O387">
        <v>-21.551791169032185</v>
      </c>
    </row>
    <row r="388" spans="8:15">
      <c r="H388">
        <v>21.165177369460253</v>
      </c>
      <c r="K388">
        <v>11.063260702439038</v>
      </c>
      <c r="O388">
        <v>-24.309610874587634</v>
      </c>
    </row>
    <row r="389" spans="8:15">
      <c r="H389">
        <v>19.705882730713483</v>
      </c>
      <c r="K389">
        <v>8.451661866150971</v>
      </c>
      <c r="O389">
        <v>-21.834523446027561</v>
      </c>
    </row>
    <row r="390" spans="8:15">
      <c r="H390">
        <v>18.481684107654473</v>
      </c>
      <c r="K390">
        <v>7.1905617247666669</v>
      </c>
      <c r="O390">
        <v>-23.75359957667888</v>
      </c>
    </row>
    <row r="391" spans="8:15">
      <c r="H391">
        <v>19.281504807136116</v>
      </c>
      <c r="K391">
        <v>6.9113990246623871</v>
      </c>
      <c r="O391">
        <v>-25.403538941233819</v>
      </c>
    </row>
    <row r="392" spans="8:15">
      <c r="H392">
        <v>24.900141022364096</v>
      </c>
      <c r="K392">
        <v>5.3105211662000329</v>
      </c>
      <c r="O392">
        <v>-22.156826537878715</v>
      </c>
    </row>
    <row r="393" spans="8:15">
      <c r="H393">
        <v>18.467243149559181</v>
      </c>
      <c r="K393">
        <v>12.945833173879691</v>
      </c>
      <c r="O393">
        <v>-24.0548323441908</v>
      </c>
    </row>
    <row r="394" spans="8:15">
      <c r="H394">
        <v>19.201032357454324</v>
      </c>
      <c r="K394">
        <v>11.270854262444118</v>
      </c>
      <c r="O394">
        <v>-22.299346682907981</v>
      </c>
    </row>
    <row r="395" spans="8:15">
      <c r="H395">
        <v>24.162430383837773</v>
      </c>
      <c r="K395">
        <v>8.9377784948887893</v>
      </c>
      <c r="O395">
        <v>-24.205975559340914</v>
      </c>
    </row>
    <row r="396" spans="8:15">
      <c r="H396">
        <v>20.743129760305237</v>
      </c>
      <c r="K396">
        <v>9.2211152014947402</v>
      </c>
      <c r="O396">
        <v>-23.059872143211578</v>
      </c>
    </row>
    <row r="397" spans="8:15">
      <c r="H397">
        <v>19.43984864510935</v>
      </c>
      <c r="K397">
        <v>14.029399779354662</v>
      </c>
      <c r="O397">
        <v>-25.455113952190914</v>
      </c>
    </row>
    <row r="398" spans="8:15">
      <c r="H398">
        <v>7.0919691154003885</v>
      </c>
      <c r="K398">
        <v>8.9690729977523915</v>
      </c>
      <c r="O398">
        <v>-26.272964301794673</v>
      </c>
    </row>
    <row r="399" spans="8:15">
      <c r="H399">
        <v>20.003235844862729</v>
      </c>
      <c r="K399">
        <v>9.158147985343021</v>
      </c>
      <c r="O399">
        <v>-22.507828970302853</v>
      </c>
    </row>
    <row r="400" spans="8:15">
      <c r="H400">
        <v>21.738459418743787</v>
      </c>
      <c r="K400">
        <v>9.0174857236615935</v>
      </c>
      <c r="O400">
        <v>-21.369843043787569</v>
      </c>
    </row>
    <row r="401" spans="8:15">
      <c r="H401">
        <v>14.719181945137962</v>
      </c>
      <c r="K401">
        <v>9.9788247048513767</v>
      </c>
      <c r="O401">
        <v>-25.887153590657817</v>
      </c>
    </row>
    <row r="402" spans="8:15">
      <c r="H402">
        <v>19.407828661929216</v>
      </c>
      <c r="K402">
        <v>7.8494429938841677</v>
      </c>
      <c r="O402">
        <v>-23.113696089241785</v>
      </c>
    </row>
    <row r="403" spans="8:15">
      <c r="H403">
        <v>23.078423228808788</v>
      </c>
      <c r="K403">
        <v>6.6255184753640606</v>
      </c>
      <c r="O403">
        <v>-24.978275234578177</v>
      </c>
    </row>
    <row r="404" spans="8:15">
      <c r="H404">
        <v>22.360929433030606</v>
      </c>
      <c r="K404">
        <v>11.006662406870873</v>
      </c>
      <c r="O404">
        <v>-20.601678245104267</v>
      </c>
    </row>
    <row r="405" spans="8:15">
      <c r="H405">
        <v>34.751109492801334</v>
      </c>
      <c r="K405">
        <v>8.4312669895693944</v>
      </c>
      <c r="O405">
        <v>-23.124619406564307</v>
      </c>
    </row>
    <row r="406" spans="8:15">
      <c r="H406">
        <v>21.523776481219556</v>
      </c>
      <c r="K406">
        <v>9.8132996556901162</v>
      </c>
      <c r="O406">
        <v>-21.440235575646057</v>
      </c>
    </row>
    <row r="407" spans="8:15">
      <c r="H407">
        <v>21.937978312161704</v>
      </c>
      <c r="K407">
        <v>6.7457646323855442</v>
      </c>
      <c r="O407">
        <v>-26.318291302195121</v>
      </c>
    </row>
    <row r="408" spans="8:15">
      <c r="H408">
        <v>29.749569331793737</v>
      </c>
      <c r="K408">
        <v>7.7530521610347023</v>
      </c>
      <c r="O408">
        <v>-23.777796254301848</v>
      </c>
    </row>
    <row r="409" spans="8:15">
      <c r="H409">
        <v>15.506908050922902</v>
      </c>
      <c r="K409">
        <v>11.390511834679273</v>
      </c>
      <c r="O409">
        <v>-24.037083988354425</v>
      </c>
    </row>
    <row r="410" spans="8:15">
      <c r="H410">
        <v>23.686322167704475</v>
      </c>
      <c r="K410">
        <v>9.2360679261050791</v>
      </c>
      <c r="O410">
        <v>-23.674661889305298</v>
      </c>
    </row>
    <row r="411" spans="8:15">
      <c r="H411">
        <v>21.725835550147167</v>
      </c>
      <c r="K411">
        <v>11.352758002299652</v>
      </c>
      <c r="O411">
        <v>-24.955739426134187</v>
      </c>
    </row>
    <row r="412" spans="8:15">
      <c r="H412">
        <v>19.911886691507789</v>
      </c>
      <c r="K412">
        <v>16.825175145850608</v>
      </c>
      <c r="O412">
        <v>-26.635398849840385</v>
      </c>
    </row>
    <row r="413" spans="8:15">
      <c r="H413">
        <v>16.736573096003212</v>
      </c>
      <c r="K413">
        <v>8.9230997739646227</v>
      </c>
      <c r="O413">
        <v>-23.804987106733734</v>
      </c>
    </row>
    <row r="414" spans="8:15">
      <c r="H414">
        <v>20.201988309835997</v>
      </c>
      <c r="K414">
        <v>10.580844591047935</v>
      </c>
      <c r="O414">
        <v>-23.559663580868801</v>
      </c>
    </row>
    <row r="415" spans="8:15">
      <c r="H415">
        <v>15.874276157746408</v>
      </c>
      <c r="K415">
        <v>8.8796041278828852</v>
      </c>
      <c r="O415">
        <v>-20.604955184403025</v>
      </c>
    </row>
    <row r="416" spans="8:15">
      <c r="H416">
        <v>21.208540817627636</v>
      </c>
      <c r="K416">
        <v>6.7787786169565152</v>
      </c>
      <c r="O416">
        <v>-24.535003538505407</v>
      </c>
    </row>
    <row r="417" spans="8:15">
      <c r="H417">
        <v>24.599561585740958</v>
      </c>
      <c r="K417">
        <v>9.9947883924569396</v>
      </c>
      <c r="O417">
        <v>-21.788329087876264</v>
      </c>
    </row>
    <row r="418" spans="8:15">
      <c r="H418">
        <v>25.493927581848766</v>
      </c>
      <c r="K418">
        <v>9.6878025764017366</v>
      </c>
      <c r="O418">
        <v>-24.594809094701304</v>
      </c>
    </row>
    <row r="419" spans="8:15">
      <c r="H419">
        <v>19.461403253383196</v>
      </c>
      <c r="K419">
        <v>9.1037975207723321</v>
      </c>
      <c r="O419">
        <v>-24.797205116575697</v>
      </c>
    </row>
    <row r="420" spans="8:15">
      <c r="H420">
        <v>16.491384474580855</v>
      </c>
      <c r="K420">
        <v>9.0228438072740573</v>
      </c>
      <c r="O420">
        <v>-23.251884457375581</v>
      </c>
    </row>
    <row r="421" spans="8:15">
      <c r="H421">
        <v>22.026777925819943</v>
      </c>
      <c r="K421">
        <v>10.441485026131431</v>
      </c>
      <c r="O421">
        <v>-23.650958678032111</v>
      </c>
    </row>
    <row r="422" spans="8:15">
      <c r="H422">
        <v>22.188158836357843</v>
      </c>
      <c r="K422">
        <v>4.3264185280372658</v>
      </c>
      <c r="O422">
        <v>-23.685497242561723</v>
      </c>
    </row>
    <row r="423" spans="8:15">
      <c r="H423">
        <v>19.395337094519618</v>
      </c>
      <c r="K423">
        <v>9.246385622123853</v>
      </c>
      <c r="O423">
        <v>-25.378315689210467</v>
      </c>
    </row>
    <row r="424" spans="8:15">
      <c r="H424">
        <v>8.8770042500373165</v>
      </c>
      <c r="K424">
        <v>12.843938713815533</v>
      </c>
      <c r="O424">
        <v>-21.782167897464205</v>
      </c>
    </row>
    <row r="425" spans="8:15">
      <c r="H425">
        <v>18.513159716444534</v>
      </c>
      <c r="K425">
        <v>7.0982684805453573</v>
      </c>
      <c r="O425">
        <v>-24.376799095552087</v>
      </c>
    </row>
    <row r="426" spans="8:15">
      <c r="H426">
        <v>16.720629405116597</v>
      </c>
      <c r="K426">
        <v>9.6641703368645722</v>
      </c>
      <c r="O426">
        <v>-24.869125277769854</v>
      </c>
    </row>
    <row r="427" spans="8:15">
      <c r="H427">
        <v>21.45237382915775</v>
      </c>
      <c r="K427">
        <v>9.2291324426573738</v>
      </c>
      <c r="O427">
        <v>-24.502398349450687</v>
      </c>
    </row>
    <row r="428" spans="8:15">
      <c r="H428">
        <v>23.840146672288256</v>
      </c>
      <c r="K428">
        <v>11.349358707185274</v>
      </c>
      <c r="O428">
        <v>-23.018778528713483</v>
      </c>
    </row>
    <row r="429" spans="8:15">
      <c r="H429">
        <v>20.907990567120578</v>
      </c>
      <c r="K429">
        <v>11.741771586629056</v>
      </c>
      <c r="O429">
        <v>-23.879959938677075</v>
      </c>
    </row>
    <row r="430" spans="8:15">
      <c r="H430">
        <v>37.843360113745348</v>
      </c>
      <c r="K430">
        <v>7.9038046232672059</v>
      </c>
      <c r="O430">
        <v>-26.026941269236886</v>
      </c>
    </row>
    <row r="431" spans="8:15">
      <c r="H431">
        <v>24.197311931143759</v>
      </c>
      <c r="K431">
        <v>8.9524582241947428</v>
      </c>
      <c r="O431">
        <v>-23.377514826320748</v>
      </c>
    </row>
    <row r="432" spans="8:15">
      <c r="H432">
        <v>29.241686717919947</v>
      </c>
      <c r="K432">
        <v>7.7388344036453418</v>
      </c>
      <c r="O432">
        <v>-25.008466783906442</v>
      </c>
    </row>
    <row r="433" spans="8:15">
      <c r="H433">
        <v>17.43491231579992</v>
      </c>
      <c r="K433">
        <v>9.0676658695651895</v>
      </c>
      <c r="O433">
        <v>-23.164979793414659</v>
      </c>
    </row>
    <row r="434" spans="8:15">
      <c r="H434">
        <v>19.657048706877049</v>
      </c>
      <c r="K434">
        <v>10.602362106974851</v>
      </c>
      <c r="O434">
        <v>-22.78405656439736</v>
      </c>
    </row>
    <row r="435" spans="8:15">
      <c r="H435">
        <v>20.974479318840849</v>
      </c>
      <c r="K435">
        <v>11.543713470290641</v>
      </c>
      <c r="O435">
        <v>-24.31028613072931</v>
      </c>
    </row>
    <row r="436" spans="8:15">
      <c r="H436">
        <v>24.698970594064576</v>
      </c>
      <c r="K436">
        <v>13.696197523497631</v>
      </c>
      <c r="O436">
        <v>-24.970051996327584</v>
      </c>
    </row>
    <row r="437" spans="8:15">
      <c r="H437">
        <v>20.602585413430688</v>
      </c>
      <c r="K437">
        <v>12.673238457676689</v>
      </c>
      <c r="O437">
        <v>-22.379553008202947</v>
      </c>
    </row>
    <row r="438" spans="8:15">
      <c r="H438">
        <v>18.629501174424377</v>
      </c>
      <c r="K438">
        <v>12.4995452723374</v>
      </c>
      <c r="O438">
        <v>-23.82820991873632</v>
      </c>
    </row>
    <row r="439" spans="8:15">
      <c r="H439">
        <v>19.538568704999761</v>
      </c>
      <c r="K439">
        <v>12.315284212668303</v>
      </c>
      <c r="O439">
        <v>-24.912878438877215</v>
      </c>
    </row>
    <row r="440" spans="8:15">
      <c r="H440">
        <v>16.103655448714562</v>
      </c>
      <c r="K440">
        <v>9.3626521015235085</v>
      </c>
      <c r="O440">
        <v>-22.258853519824697</v>
      </c>
    </row>
    <row r="441" spans="8:15">
      <c r="H441">
        <v>9.6126716874659905</v>
      </c>
      <c r="K441">
        <v>10.174356697592884</v>
      </c>
      <c r="O441">
        <v>-23.721163846327272</v>
      </c>
    </row>
    <row r="442" spans="8:15">
      <c r="H442">
        <v>23.087216088313653</v>
      </c>
      <c r="K442">
        <v>9.6402396042008149</v>
      </c>
      <c r="O442">
        <v>-25.221654104432218</v>
      </c>
    </row>
    <row r="443" spans="8:15">
      <c r="H443">
        <v>22.283443929736222</v>
      </c>
      <c r="K443">
        <v>12.121925301661577</v>
      </c>
      <c r="O443">
        <v>-24.309548809862918</v>
      </c>
    </row>
    <row r="444" spans="8:15">
      <c r="H444">
        <v>20.337644607123821</v>
      </c>
      <c r="K444">
        <v>13.692613197132232</v>
      </c>
      <c r="O444">
        <v>-24.434170435023134</v>
      </c>
    </row>
    <row r="445" spans="8:15">
      <c r="H445">
        <v>16.119584558347924</v>
      </c>
      <c r="K445">
        <v>10.147830746709587</v>
      </c>
      <c r="O445">
        <v>-23.572671472954426</v>
      </c>
    </row>
    <row r="446" spans="8:15">
      <c r="H446">
        <v>24.241946466449463</v>
      </c>
      <c r="K446">
        <v>6.2138677209441084</v>
      </c>
      <c r="O446">
        <v>-24.756775354519505</v>
      </c>
    </row>
    <row r="447" spans="8:15">
      <c r="H447">
        <v>23.081447027676859</v>
      </c>
      <c r="K447">
        <v>19.940002330884909</v>
      </c>
      <c r="O447">
        <v>-20.994152926328752</v>
      </c>
    </row>
    <row r="448" spans="8:15">
      <c r="H448">
        <v>11.760433350124913</v>
      </c>
      <c r="K448">
        <v>10.334134303916017</v>
      </c>
      <c r="O448">
        <v>-24.679478641303376</v>
      </c>
    </row>
    <row r="449" spans="8:15">
      <c r="H449">
        <v>23.205942681415308</v>
      </c>
      <c r="K449">
        <v>7.7071849327321615</v>
      </c>
      <c r="O449">
        <v>-27.030983016799382</v>
      </c>
    </row>
    <row r="450" spans="8:15">
      <c r="H450">
        <v>24.909343716805324</v>
      </c>
      <c r="K450">
        <v>11.652144641560881</v>
      </c>
      <c r="O450">
        <v>-22.701764208157783</v>
      </c>
    </row>
    <row r="451" spans="8:15">
      <c r="H451">
        <v>19.733265692255827</v>
      </c>
      <c r="K451">
        <v>8.1554381501773605</v>
      </c>
      <c r="O451">
        <v>-23.735779957020895</v>
      </c>
    </row>
    <row r="452" spans="8:15">
      <c r="H452">
        <v>24.235150283881467</v>
      </c>
      <c r="K452">
        <v>9.9846660891603278</v>
      </c>
      <c r="O452">
        <v>-22.404426749795221</v>
      </c>
    </row>
    <row r="453" spans="8:15">
      <c r="H453">
        <v>22.278852277711849</v>
      </c>
      <c r="K453">
        <v>8.3473705795158821</v>
      </c>
      <c r="O453">
        <v>-22.66304444119578</v>
      </c>
    </row>
    <row r="454" spans="8:15">
      <c r="H454">
        <v>20.054674916854765</v>
      </c>
      <c r="K454">
        <v>10.615770057630471</v>
      </c>
      <c r="O454">
        <v>-24.035902793487367</v>
      </c>
    </row>
    <row r="455" spans="8:15">
      <c r="H455">
        <v>15.214442031117187</v>
      </c>
      <c r="K455">
        <v>12.632554181569503</v>
      </c>
      <c r="O455">
        <v>-21.360143381120452</v>
      </c>
    </row>
    <row r="456" spans="8:15">
      <c r="H456">
        <v>14.401923440685323</v>
      </c>
      <c r="K456">
        <v>11.653649557194512</v>
      </c>
      <c r="O456">
        <v>-25.794402520524272</v>
      </c>
    </row>
    <row r="457" spans="8:15">
      <c r="H457">
        <v>27.047666576637766</v>
      </c>
      <c r="K457">
        <v>12.057829362598568</v>
      </c>
      <c r="O457">
        <v>-22.755046178532211</v>
      </c>
    </row>
    <row r="458" spans="8:15">
      <c r="H458">
        <v>22.977487548837871</v>
      </c>
      <c r="K458">
        <v>11.894087235974894</v>
      </c>
      <c r="O458">
        <v>-22.919134523065168</v>
      </c>
    </row>
    <row r="459" spans="8:15">
      <c r="H459">
        <v>22.665753914398465</v>
      </c>
      <c r="K459">
        <v>5.934095727764543</v>
      </c>
      <c r="O459">
        <v>-23.828443733192671</v>
      </c>
    </row>
    <row r="460" spans="8:15">
      <c r="H460">
        <v>24.027159075060808</v>
      </c>
      <c r="K460">
        <v>10.729370205786836</v>
      </c>
      <c r="O460">
        <v>-25.182846681939282</v>
      </c>
    </row>
    <row r="461" spans="8:15">
      <c r="H461">
        <v>24.665711123579058</v>
      </c>
      <c r="K461">
        <v>7.8661777815163987</v>
      </c>
      <c r="O461">
        <v>-21.719080315882366</v>
      </c>
    </row>
    <row r="462" spans="8:15">
      <c r="H462">
        <v>23.610431470869571</v>
      </c>
      <c r="K462">
        <v>8.8974736097561617</v>
      </c>
      <c r="O462">
        <v>-24.575098892034475</v>
      </c>
    </row>
    <row r="463" spans="8:15">
      <c r="H463">
        <v>19.804020532500545</v>
      </c>
      <c r="K463">
        <v>13.838551716839902</v>
      </c>
      <c r="O463">
        <v>-23.612873541127556</v>
      </c>
    </row>
    <row r="464" spans="8:15">
      <c r="H464">
        <v>20.723291724545561</v>
      </c>
      <c r="K464">
        <v>9.3384795580855098</v>
      </c>
      <c r="O464">
        <v>-25.749286145513452</v>
      </c>
    </row>
    <row r="465" spans="8:15">
      <c r="H465">
        <v>13.621498858759423</v>
      </c>
      <c r="K465">
        <v>9.7850235209652965</v>
      </c>
      <c r="O465">
        <v>-23.353104836618968</v>
      </c>
    </row>
    <row r="466" spans="8:15">
      <c r="H466">
        <v>27.428214714608202</v>
      </c>
      <c r="K466">
        <v>4.8008274493204226</v>
      </c>
      <c r="O466">
        <v>-23.34932059993298</v>
      </c>
    </row>
    <row r="467" spans="8:15">
      <c r="H467">
        <v>25.195455276767461</v>
      </c>
      <c r="K467">
        <v>8.8117215638371817</v>
      </c>
      <c r="O467">
        <v>-23.314850526302962</v>
      </c>
    </row>
    <row r="468" spans="8:15">
      <c r="H468">
        <v>21.769958644018516</v>
      </c>
      <c r="K468">
        <v>8.2682472393498756</v>
      </c>
      <c r="O468">
        <v>-24.765451276051863</v>
      </c>
    </row>
    <row r="469" spans="8:15">
      <c r="H469">
        <v>20.956109350536508</v>
      </c>
      <c r="K469">
        <v>13.773002417014595</v>
      </c>
      <c r="O469">
        <v>-23.260946757099191</v>
      </c>
    </row>
    <row r="470" spans="8:15">
      <c r="H470">
        <v>14.752498546581137</v>
      </c>
      <c r="K470">
        <v>11.836146856927826</v>
      </c>
      <c r="O470">
        <v>-25.779198971019923</v>
      </c>
    </row>
    <row r="471" spans="8:15">
      <c r="H471">
        <v>18.097738250404063</v>
      </c>
      <c r="K471">
        <v>9.1819598263741682</v>
      </c>
      <c r="O471">
        <v>-24.058194317735797</v>
      </c>
    </row>
    <row r="472" spans="8:15">
      <c r="H472">
        <v>19.456552599588576</v>
      </c>
      <c r="K472">
        <v>9.6541694731267853</v>
      </c>
      <c r="O472">
        <v>-22.400960732802105</v>
      </c>
    </row>
    <row r="473" spans="8:15">
      <c r="H473">
        <v>24.074279922772348</v>
      </c>
      <c r="K473">
        <v>9.0989823638865346</v>
      </c>
      <c r="O473">
        <v>-25.865288798789152</v>
      </c>
    </row>
    <row r="474" spans="8:15">
      <c r="H474">
        <v>20.861949574464461</v>
      </c>
      <c r="K474">
        <v>10.084391830412187</v>
      </c>
      <c r="O474">
        <v>-24.762992776016745</v>
      </c>
    </row>
    <row r="475" spans="8:15">
      <c r="H475">
        <v>13.743780625731461</v>
      </c>
      <c r="K475">
        <v>11.049137953356876</v>
      </c>
      <c r="O475">
        <v>-24.506233690970475</v>
      </c>
    </row>
    <row r="476" spans="8:15">
      <c r="H476">
        <v>19.160493055491315</v>
      </c>
      <c r="K476">
        <v>13.353751898513565</v>
      </c>
      <c r="O476">
        <v>-24.601272075373799</v>
      </c>
    </row>
    <row r="477" spans="8:15">
      <c r="H477">
        <v>19.203241195191595</v>
      </c>
      <c r="K477">
        <v>8.707886825530295</v>
      </c>
      <c r="O477">
        <v>-25.292539453955214</v>
      </c>
    </row>
    <row r="478" spans="8:15">
      <c r="H478">
        <v>26.63973488673264</v>
      </c>
      <c r="K478">
        <v>10.548344910320338</v>
      </c>
      <c r="O478">
        <v>-23.319238775427493</v>
      </c>
    </row>
    <row r="479" spans="8:15">
      <c r="H479">
        <v>19.397662141180035</v>
      </c>
      <c r="K479">
        <v>9.5610071989008247</v>
      </c>
      <c r="O479">
        <v>-23.115714609709357</v>
      </c>
    </row>
    <row r="480" spans="8:15">
      <c r="H480">
        <v>17.360410974564275</v>
      </c>
      <c r="K480">
        <v>7.0155591987950174</v>
      </c>
      <c r="O480">
        <v>-24.648856951851485</v>
      </c>
    </row>
    <row r="481" spans="8:15">
      <c r="H481">
        <v>16.07802600846594</v>
      </c>
      <c r="K481">
        <v>9.9026038632650852</v>
      </c>
      <c r="O481">
        <v>-22.266774423412244</v>
      </c>
    </row>
    <row r="482" spans="8:15">
      <c r="H482">
        <v>20.618322091182335</v>
      </c>
      <c r="K482">
        <v>8.4562458553054967</v>
      </c>
      <c r="O482">
        <v>-22.197011789171938</v>
      </c>
    </row>
    <row r="483" spans="8:15">
      <c r="H483">
        <v>18.042330603012942</v>
      </c>
      <c r="K483">
        <v>7.093723783241785</v>
      </c>
      <c r="O483">
        <v>-23.276392341706924</v>
      </c>
    </row>
    <row r="484" spans="8:15">
      <c r="H484">
        <v>17.523140583477016</v>
      </c>
      <c r="K484">
        <v>10.301434650592455</v>
      </c>
      <c r="O484">
        <v>-21.604188283763506</v>
      </c>
    </row>
    <row r="485" spans="8:15">
      <c r="H485">
        <v>18.866349527626426</v>
      </c>
      <c r="K485">
        <v>6.6482804386314456</v>
      </c>
      <c r="O485">
        <v>-26.600480611718467</v>
      </c>
    </row>
    <row r="486" spans="8:15">
      <c r="H486">
        <v>15.9631542801867</v>
      </c>
      <c r="K486">
        <v>8.7423891640296461</v>
      </c>
      <c r="O486">
        <v>-25.24235148873322</v>
      </c>
    </row>
    <row r="487" spans="8:15">
      <c r="H487">
        <v>24.38376548202541</v>
      </c>
      <c r="K487">
        <v>15.191675346526154</v>
      </c>
      <c r="O487">
        <v>-25.263744144804605</v>
      </c>
    </row>
    <row r="488" spans="8:15">
      <c r="H488">
        <v>14.675662013301235</v>
      </c>
      <c r="K488">
        <v>5.6410491173282935</v>
      </c>
      <c r="O488">
        <v>-23.319877887265193</v>
      </c>
    </row>
    <row r="489" spans="8:15">
      <c r="H489">
        <v>16.637339890350177</v>
      </c>
      <c r="K489">
        <v>10.603022907705054</v>
      </c>
      <c r="O489">
        <v>-23.421557839095385</v>
      </c>
    </row>
    <row r="490" spans="8:15">
      <c r="H490">
        <v>22.747438756480733</v>
      </c>
      <c r="K490">
        <v>9.9453934542416391</v>
      </c>
      <c r="O490">
        <v>-22.003273396710028</v>
      </c>
    </row>
    <row r="491" spans="8:15">
      <c r="H491">
        <v>23.120250681056405</v>
      </c>
      <c r="K491">
        <v>10.690963639721758</v>
      </c>
      <c r="O491">
        <v>-24.199084252175908</v>
      </c>
    </row>
    <row r="492" spans="8:15">
      <c r="H492">
        <v>13.298265951360463</v>
      </c>
      <c r="K492">
        <v>9.322451110801012</v>
      </c>
      <c r="O492">
        <v>-19.159241891485635</v>
      </c>
    </row>
    <row r="493" spans="8:15">
      <c r="H493">
        <v>18.889866988587983</v>
      </c>
      <c r="K493">
        <v>10.518695335380016</v>
      </c>
      <c r="O493">
        <v>-23.621115913368612</v>
      </c>
    </row>
    <row r="494" spans="8:15">
      <c r="H494">
        <v>12.783435225640915</v>
      </c>
      <c r="K494">
        <v>4.5012699090916612</v>
      </c>
      <c r="O494">
        <v>-24.176060656479422</v>
      </c>
    </row>
    <row r="495" spans="8:15">
      <c r="H495">
        <v>17.834325112657552</v>
      </c>
      <c r="K495">
        <v>9.3165251803161482</v>
      </c>
      <c r="O495">
        <v>-26.059180878760799</v>
      </c>
    </row>
    <row r="496" spans="8:15">
      <c r="H496">
        <v>23.890728013990156</v>
      </c>
      <c r="K496">
        <v>12.498057847512882</v>
      </c>
      <c r="O496">
        <v>-24.914504600340024</v>
      </c>
    </row>
    <row r="497" spans="8:15">
      <c r="H497">
        <v>22.805310311069434</v>
      </c>
      <c r="K497">
        <v>3.8733931656174718</v>
      </c>
      <c r="O497">
        <v>-24.886009580607606</v>
      </c>
    </row>
    <row r="498" spans="8:15">
      <c r="H498">
        <v>23.97235976729371</v>
      </c>
      <c r="K498">
        <v>12.411505105260858</v>
      </c>
      <c r="O498">
        <v>-27.200702400174578</v>
      </c>
    </row>
    <row r="499" spans="8:15">
      <c r="H499">
        <v>18.309814065301907</v>
      </c>
      <c r="K499">
        <v>7.8784119228089367</v>
      </c>
      <c r="O499">
        <v>-25.77228827358249</v>
      </c>
    </row>
    <row r="500" spans="8:15">
      <c r="H500">
        <v>21.321007395125889</v>
      </c>
      <c r="K500">
        <v>7.8688177704002555</v>
      </c>
      <c r="O500">
        <v>-20.978697494935659</v>
      </c>
    </row>
    <row r="501" spans="8:15">
      <c r="H501">
        <v>13.29328254151369</v>
      </c>
      <c r="K501">
        <v>9.6503142858209685</v>
      </c>
      <c r="O501">
        <v>-23.793452454488488</v>
      </c>
    </row>
  </sheetData>
  <pageMargins left="0.7" right="0.7" top="0.75" bottom="0.75" header="0.3" footer="0.3"/>
  <pageSetup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IM" altText="Simulate_x000a_">
                <anchor moveWithCells="1" sizeWithCells="1">
                  <from>
                    <xdr:col>2</xdr:col>
                    <xdr:colOff>787400</xdr:colOff>
                    <xdr:row>3</xdr:row>
                    <xdr:rowOff>114300</xdr:rowOff>
                  </from>
                  <to>
                    <xdr:col>3</xdr:col>
                    <xdr:colOff>762000</xdr:colOff>
                    <xdr:row>5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D64CC-9A1A-B242-94D2-DEB002392105}">
  <sheetPr codeName="Sheet6"/>
  <dimension ref="A1:U34"/>
  <sheetViews>
    <sheetView zoomScale="87" workbookViewId="0">
      <selection activeCell="G32" sqref="G32"/>
    </sheetView>
  </sheetViews>
  <sheetFormatPr baseColWidth="10" defaultColWidth="8.83203125" defaultRowHeight="15"/>
  <cols>
    <col min="1" max="1" width="10.33203125" style="35" customWidth="1"/>
    <col min="2" max="2" width="8.83203125" style="35"/>
    <col min="3" max="3" width="12" style="35" customWidth="1"/>
    <col min="4" max="4" width="14.6640625" style="35" customWidth="1"/>
    <col min="5" max="5" width="14.5" style="35" customWidth="1"/>
    <col min="6" max="6" width="10" style="35" customWidth="1"/>
    <col min="7" max="8" width="8.83203125" style="35"/>
    <col min="9" max="9" width="11.33203125" style="35" customWidth="1"/>
    <col min="10" max="10" width="10.33203125" style="35" customWidth="1"/>
    <col min="11" max="11" width="13.5" style="35" customWidth="1"/>
    <col min="12" max="12" width="13.1640625" style="35" customWidth="1"/>
    <col min="13" max="13" width="15.83203125" style="35" customWidth="1"/>
    <col min="14" max="14" width="16.5" style="35" customWidth="1"/>
    <col min="15" max="15" width="13" style="35" customWidth="1"/>
    <col min="16" max="16" width="11.33203125" style="35" customWidth="1"/>
    <col min="17" max="18" width="8.83203125" style="35"/>
    <col min="19" max="19" width="11.6640625" style="35" bestFit="1" customWidth="1"/>
    <col min="20" max="20" width="17.1640625" style="35" customWidth="1"/>
    <col min="21" max="16384" width="8.83203125" style="35"/>
  </cols>
  <sheetData>
    <row r="1" spans="1:21">
      <c r="B1" s="35" t="s">
        <v>12</v>
      </c>
      <c r="C1" s="35" t="s">
        <v>126</v>
      </c>
      <c r="D1" s="35" t="s">
        <v>21</v>
      </c>
      <c r="E1" s="35" t="s">
        <v>20</v>
      </c>
      <c r="F1" s="35" t="s">
        <v>15</v>
      </c>
      <c r="G1" s="35" t="s">
        <v>125</v>
      </c>
      <c r="I1" s="35" t="s">
        <v>124</v>
      </c>
      <c r="J1" s="35" t="s">
        <v>123</v>
      </c>
    </row>
    <row r="2" spans="1:21">
      <c r="B2" s="35">
        <v>27860</v>
      </c>
      <c r="C2" s="35">
        <v>28010</v>
      </c>
      <c r="D2" s="44">
        <v>8.3999999999999995E-3</v>
      </c>
      <c r="E2" s="44">
        <v>3.4599999999999999E-2</v>
      </c>
      <c r="F2" s="35">
        <v>0.3</v>
      </c>
      <c r="G2" s="35">
        <v>29800</v>
      </c>
      <c r="I2" s="35">
        <f>EXP(D2)</f>
        <v>1.0084353789917955</v>
      </c>
      <c r="J2" s="43">
        <f>EXP(E2)-1</f>
        <v>3.5205543754634583E-2</v>
      </c>
    </row>
    <row r="3" spans="1:21">
      <c r="B3" s="35" t="s">
        <v>122</v>
      </c>
    </row>
    <row r="4" spans="1:21">
      <c r="M4" s="42" t="s">
        <v>121</v>
      </c>
      <c r="S4" s="42" t="s">
        <v>120</v>
      </c>
    </row>
    <row r="5" spans="1:21" ht="16">
      <c r="A5" s="35" t="s">
        <v>10</v>
      </c>
      <c r="B5" s="35" t="s">
        <v>119</v>
      </c>
      <c r="C5" s="35" t="s">
        <v>118</v>
      </c>
      <c r="D5" s="35" t="s">
        <v>117</v>
      </c>
      <c r="E5" s="35" t="s">
        <v>116</v>
      </c>
      <c r="F5" s="35" t="s">
        <v>15</v>
      </c>
      <c r="G5" s="35" t="s">
        <v>115</v>
      </c>
      <c r="H5" s="35" t="s">
        <v>17</v>
      </c>
      <c r="I5" s="35" t="s">
        <v>114</v>
      </c>
      <c r="J5" s="35" t="s">
        <v>113</v>
      </c>
      <c r="K5" s="35" t="s">
        <v>112</v>
      </c>
      <c r="L5" s="35" t="s">
        <v>111</v>
      </c>
      <c r="M5" s="31" t="s">
        <v>110</v>
      </c>
      <c r="N5" s="31" t="s">
        <v>109</v>
      </c>
      <c r="O5" s="31" t="s">
        <v>106</v>
      </c>
      <c r="P5" s="31" t="s">
        <v>108</v>
      </c>
      <c r="Q5" s="31" t="s">
        <v>107</v>
      </c>
      <c r="S5" s="31" t="s">
        <v>39</v>
      </c>
      <c r="T5" s="31" t="s">
        <v>106</v>
      </c>
      <c r="U5" s="31" t="s">
        <v>105</v>
      </c>
    </row>
    <row r="6" spans="1:21" ht="16">
      <c r="A6" s="37">
        <v>43550</v>
      </c>
      <c r="B6" s="35">
        <v>5.8000000000000003E-2</v>
      </c>
      <c r="C6" s="41">
        <v>28566.91</v>
      </c>
      <c r="D6" s="40">
        <v>15.214</v>
      </c>
      <c r="E6" s="36">
        <v>1842</v>
      </c>
      <c r="F6" s="39">
        <f t="shared" ref="F6:F26" si="0">$F$2-G6*1.5*(2/12)/90</f>
        <v>0.3</v>
      </c>
      <c r="G6" s="35">
        <f>0</f>
        <v>0</v>
      </c>
      <c r="I6" s="35">
        <v>0.91700000000000004</v>
      </c>
      <c r="J6" s="35">
        <f t="shared" ref="J6:J26" si="1">Black_Scholes_Put_Delta(C6,$G$2,$D$2,D6/100,$E$2,F6)</f>
        <v>-0.70483342368234825</v>
      </c>
      <c r="K6" s="38">
        <v>1E-4</v>
      </c>
      <c r="L6" s="35">
        <f t="shared" ref="L6:L26" si="2">Black_Scholes_Put_call_Gamma(C6,$G$2,$D$2,D6/100,$E$2,F6)</f>
        <v>1.4180422029428142E-4</v>
      </c>
      <c r="M6" s="31">
        <f>-N6*J6/I6</f>
        <v>-0.54203583375156206</v>
      </c>
      <c r="N6" s="31">
        <f t="shared" ref="N6:N26" si="3">-K6/L6</f>
        <v>-0.70519762946739839</v>
      </c>
      <c r="O6" s="31">
        <v>16783.204913034799</v>
      </c>
      <c r="P6" s="31">
        <f>B6-M6*C6-E6*N6</f>
        <v>16783.320913034786</v>
      </c>
      <c r="Q6" s="31">
        <f t="shared" ref="Q6:Q26" si="4">O6+P6</f>
        <v>33566.525826069585</v>
      </c>
      <c r="S6" s="31">
        <f>(-B6+I6*C6)</f>
        <v>26195.798470000002</v>
      </c>
      <c r="T6" s="31">
        <f>-S6</f>
        <v>-26195.798470000002</v>
      </c>
      <c r="U6" s="31">
        <f t="shared" ref="U6:U26" si="5">T6+S6</f>
        <v>0</v>
      </c>
    </row>
    <row r="7" spans="1:21" ht="16">
      <c r="A7" s="37">
        <v>43551</v>
      </c>
      <c r="B7" s="35">
        <v>0.08</v>
      </c>
      <c r="C7" s="41">
        <v>28728.25</v>
      </c>
      <c r="D7" s="40">
        <v>11.025</v>
      </c>
      <c r="E7" s="36">
        <v>1706</v>
      </c>
      <c r="F7" s="39">
        <f t="shared" si="0"/>
        <v>0.29722222222222222</v>
      </c>
      <c r="G7" s="35">
        <v>1</v>
      </c>
      <c r="H7" s="35">
        <f t="shared" ref="H7:H26" si="6">(A7-A6)/365</f>
        <v>2.7397260273972603E-3</v>
      </c>
      <c r="I7" s="35">
        <v>0.92030000000000001</v>
      </c>
      <c r="J7" s="35">
        <f t="shared" si="1"/>
        <v>-0.75301765125902387</v>
      </c>
      <c r="K7" s="38">
        <v>1E-4</v>
      </c>
      <c r="L7" s="35">
        <f t="shared" si="2"/>
        <v>1.7786707103093001E-4</v>
      </c>
      <c r="M7" s="31">
        <f t="shared" ref="M6:M26" si="7">-N7*J7/I7</f>
        <v>-0.46002367270198541</v>
      </c>
      <c r="N7" s="31">
        <f>-K7/L7</f>
        <v>-0.56221761240230128</v>
      </c>
      <c r="O7" s="31">
        <f t="shared" ref="O7:O26" si="8">-(B7-M7*C7-N7*E7)</f>
        <v>-14174.898322059138</v>
      </c>
      <c r="P7" s="31">
        <f t="shared" ref="P7:P26" si="9">EXP($D$2*H7)*P6+(EXP($E$2*H7)-1)*C6*M6+(N6-N7)*E7+(M6-M7)*C7</f>
        <v>14182.249493669768</v>
      </c>
      <c r="Q7" s="31">
        <f t="shared" si="4"/>
        <v>7.3511716106295353</v>
      </c>
      <c r="S7" s="31">
        <f t="shared" ref="S7:S26" si="10">S6*EXP($D$2*H7)+(EXP($E$2*H7)-1)*C6*-I6+(I7-I6)*C7</f>
        <v>26288.72122279233</v>
      </c>
      <c r="T7" s="31">
        <f t="shared" ref="T7:T26" si="11">B7-I7*C7</f>
        <v>-26438.528474999999</v>
      </c>
      <c r="U7" s="31">
        <f t="shared" si="5"/>
        <v>-149.80725220766908</v>
      </c>
    </row>
    <row r="8" spans="1:21" ht="16">
      <c r="A8" s="37">
        <v>43552</v>
      </c>
      <c r="B8" s="35">
        <v>7.1999999999999995E-2</v>
      </c>
      <c r="C8" s="41">
        <v>28775.21</v>
      </c>
      <c r="D8" s="40">
        <v>13.702999999999999</v>
      </c>
      <c r="E8" s="36">
        <v>1642</v>
      </c>
      <c r="F8" s="39">
        <f t="shared" si="0"/>
        <v>0.29444444444444445</v>
      </c>
      <c r="G8" s="35">
        <v>2</v>
      </c>
      <c r="H8" s="35">
        <f t="shared" si="6"/>
        <v>2.7397260273972603E-3</v>
      </c>
      <c r="I8" s="35">
        <v>0.92759999999999998</v>
      </c>
      <c r="J8" s="35">
        <f t="shared" si="1"/>
        <v>-0.69729505130707481</v>
      </c>
      <c r="K8" s="38">
        <f t="shared" ref="K8:K26" si="12">Down_And_Out_Call_Gamma(C8,$B$2,$D$2,D8/100,$E$2,F8,$C$2)</f>
        <v>1.812116550802694E-4</v>
      </c>
      <c r="L8" s="35">
        <f t="shared" si="2"/>
        <v>1.5976607092210493E-4</v>
      </c>
      <c r="M8" s="31">
        <f>-N8*J8/I8</f>
        <v>-0.85262372909406381</v>
      </c>
      <c r="N8" s="31">
        <f t="shared" si="3"/>
        <v>-1.1342311545523356</v>
      </c>
      <c r="O8" s="31">
        <f t="shared" si="8"/>
        <v>-26396.90641143973</v>
      </c>
      <c r="P8" s="31">
        <f t="shared" si="9"/>
        <v>26417.718355383076</v>
      </c>
      <c r="Q8" s="31">
        <f t="shared" si="4"/>
        <v>20.811943943346705</v>
      </c>
      <c r="S8" s="31">
        <f t="shared" si="10"/>
        <v>26496.878909454845</v>
      </c>
      <c r="T8" s="31">
        <f t="shared" si="11"/>
        <v>-26691.812795999998</v>
      </c>
      <c r="U8" s="31">
        <f t="shared" si="5"/>
        <v>-194.93388654515365</v>
      </c>
    </row>
    <row r="9" spans="1:21" ht="16">
      <c r="A9" s="37">
        <v>43553</v>
      </c>
      <c r="B9" s="35">
        <v>0.107</v>
      </c>
      <c r="C9" s="41">
        <v>29051.360000000001</v>
      </c>
      <c r="D9" s="40">
        <v>13.331</v>
      </c>
      <c r="E9" s="36">
        <v>1477</v>
      </c>
      <c r="F9" s="39">
        <f t="shared" si="0"/>
        <v>0.29166666666666663</v>
      </c>
      <c r="G9" s="35">
        <v>3</v>
      </c>
      <c r="H9" s="35">
        <f t="shared" si="6"/>
        <v>2.7397260273972603E-3</v>
      </c>
      <c r="I9" s="35">
        <v>0.94350000000000001</v>
      </c>
      <c r="J9" s="35">
        <f t="shared" si="1"/>
        <v>-0.65738191801996426</v>
      </c>
      <c r="K9" s="38">
        <f t="shared" si="12"/>
        <v>1.6638746160749793E-4</v>
      </c>
      <c r="L9" s="35">
        <f t="shared" si="2"/>
        <v>1.7262408431818228E-4</v>
      </c>
      <c r="M9" s="31">
        <f t="shared" si="7"/>
        <v>-0.67157583082771977</v>
      </c>
      <c r="N9" s="31">
        <f t="shared" si="3"/>
        <v>-0.9638716536263332</v>
      </c>
      <c r="O9" s="31">
        <f t="shared" si="8"/>
        <v>-20933.936661081279</v>
      </c>
      <c r="P9" s="31">
        <f t="shared" si="9"/>
        <v>20904.691839673647</v>
      </c>
      <c r="Q9" s="31">
        <f t="shared" si="4"/>
        <v>-29.244821407632116</v>
      </c>
      <c r="S9" s="31">
        <f t="shared" si="10"/>
        <v>26956.874967305335</v>
      </c>
      <c r="T9" s="31">
        <f t="shared" si="11"/>
        <v>-27409.851160000002</v>
      </c>
      <c r="U9" s="31">
        <f t="shared" si="5"/>
        <v>-452.97619269466668</v>
      </c>
    </row>
    <row r="10" spans="1:21" ht="16">
      <c r="A10" s="37">
        <v>43556</v>
      </c>
      <c r="B10" s="35">
        <v>0.151</v>
      </c>
      <c r="C10" s="41">
        <v>29562.02</v>
      </c>
      <c r="D10" s="40">
        <v>14.154</v>
      </c>
      <c r="E10" s="36">
        <v>1193</v>
      </c>
      <c r="F10" s="39">
        <f t="shared" si="0"/>
        <v>0.28888888888888886</v>
      </c>
      <c r="G10" s="35">
        <v>4</v>
      </c>
      <c r="H10" s="35">
        <f t="shared" si="6"/>
        <v>8.21917808219178E-3</v>
      </c>
      <c r="I10" s="35">
        <v>0.9657</v>
      </c>
      <c r="J10" s="35">
        <f t="shared" si="1"/>
        <v>-0.56062372245503633</v>
      </c>
      <c r="K10" s="38">
        <f t="shared" si="12"/>
        <v>1.3038428540242429E-4</v>
      </c>
      <c r="L10" s="35">
        <f t="shared" si="2"/>
        <v>1.7319895269928568E-4</v>
      </c>
      <c r="M10" s="31">
        <f t="shared" si="7"/>
        <v>-0.43702796588426485</v>
      </c>
      <c r="N10" s="31">
        <f t="shared" si="3"/>
        <v>-0.75280065710791122</v>
      </c>
      <c r="O10" s="31">
        <f t="shared" si="8"/>
        <v>-13817.671651959694</v>
      </c>
      <c r="P10" s="31">
        <f t="shared" si="9"/>
        <v>13715.069632390921</v>
      </c>
      <c r="Q10" s="31">
        <f t="shared" si="4"/>
        <v>-102.60201956877245</v>
      </c>
      <c r="S10" s="31">
        <f t="shared" si="10"/>
        <v>27607.216957735902</v>
      </c>
      <c r="T10" s="31">
        <f t="shared" si="11"/>
        <v>-28547.891713999998</v>
      </c>
      <c r="U10" s="31">
        <f t="shared" si="5"/>
        <v>-940.67475626409578</v>
      </c>
    </row>
    <row r="11" spans="1:21" ht="16">
      <c r="A11" s="37">
        <v>43557</v>
      </c>
      <c r="B11" s="35">
        <v>0.154</v>
      </c>
      <c r="C11" s="41">
        <v>29624.67</v>
      </c>
      <c r="D11" s="40">
        <v>13.676</v>
      </c>
      <c r="E11" s="36">
        <v>1096</v>
      </c>
      <c r="F11" s="39">
        <f t="shared" si="0"/>
        <v>0.28611111111111109</v>
      </c>
      <c r="G11" s="35">
        <v>5</v>
      </c>
      <c r="H11" s="35">
        <f t="shared" si="6"/>
        <v>2.7397260273972603E-3</v>
      </c>
      <c r="I11" s="35">
        <v>0.96940000000000004</v>
      </c>
      <c r="J11" s="35">
        <f t="shared" si="1"/>
        <v>-0.55276257860000877</v>
      </c>
      <c r="K11" s="38">
        <f t="shared" si="12"/>
        <v>1.2730461489005149E-4</v>
      </c>
      <c r="L11" s="35">
        <f t="shared" si="2"/>
        <v>1.8032929895342149E-4</v>
      </c>
      <c r="M11" s="31">
        <f t="shared" si="7"/>
        <v>-0.40254410572735261</v>
      </c>
      <c r="N11" s="31">
        <f t="shared" si="3"/>
        <v>-0.70595635667021517</v>
      </c>
      <c r="O11" s="31">
        <f t="shared" si="8"/>
        <v>-12699.118459528487</v>
      </c>
      <c r="P11" s="31">
        <f t="shared" si="9"/>
        <v>12641.246190576718</v>
      </c>
      <c r="Q11" s="31">
        <f t="shared" si="4"/>
        <v>-57.872268951769001</v>
      </c>
      <c r="S11" s="31">
        <f t="shared" si="10"/>
        <v>27714.757261925766</v>
      </c>
      <c r="T11" s="31">
        <f t="shared" si="11"/>
        <v>-28718.001098000001</v>
      </c>
      <c r="U11" s="31">
        <f t="shared" si="5"/>
        <v>-1003.2438360742344</v>
      </c>
    </row>
    <row r="12" spans="1:21" ht="16">
      <c r="A12" s="37">
        <v>43558</v>
      </c>
      <c r="B12" s="35">
        <v>0.188</v>
      </c>
      <c r="C12" s="41">
        <v>29986.39</v>
      </c>
      <c r="D12" s="40">
        <v>13.79</v>
      </c>
      <c r="E12" s="35">
        <v>986</v>
      </c>
      <c r="F12" s="39">
        <f t="shared" si="0"/>
        <v>0.28333333333333333</v>
      </c>
      <c r="G12" s="35">
        <v>6</v>
      </c>
      <c r="H12" s="35">
        <f t="shared" si="6"/>
        <v>2.7397260273972603E-3</v>
      </c>
      <c r="I12" s="35">
        <v>0.97929999999999995</v>
      </c>
      <c r="J12" s="35">
        <f t="shared" si="1"/>
        <v>-0.48701830134313007</v>
      </c>
      <c r="K12" s="38">
        <f t="shared" si="12"/>
        <v>1.0478164994953974E-4</v>
      </c>
      <c r="L12" s="35">
        <f t="shared" si="2"/>
        <v>1.7944189780425647E-4</v>
      </c>
      <c r="M12" s="31">
        <f t="shared" si="7"/>
        <v>-0.29039618465660316</v>
      </c>
      <c r="N12" s="31">
        <f t="shared" si="3"/>
        <v>-0.58393079448948104</v>
      </c>
      <c r="O12" s="31">
        <f t="shared" si="8"/>
        <v>-9283.8770109915458</v>
      </c>
      <c r="P12" s="31">
        <f t="shared" si="9"/>
        <v>9157.1781118889958</v>
      </c>
      <c r="Q12" s="31">
        <f t="shared" si="4"/>
        <v>-126.69889910255006</v>
      </c>
      <c r="S12" s="31">
        <f t="shared" si="10"/>
        <v>28009.537896558042</v>
      </c>
      <c r="T12" s="31">
        <f t="shared" si="11"/>
        <v>-29365.483726999999</v>
      </c>
      <c r="U12" s="31">
        <f t="shared" si="5"/>
        <v>-1355.9458304419568</v>
      </c>
    </row>
    <row r="13" spans="1:21" ht="16">
      <c r="A13" s="37">
        <v>43559</v>
      </c>
      <c r="B13" s="35">
        <v>0.188</v>
      </c>
      <c r="C13" s="41">
        <v>29936.32</v>
      </c>
      <c r="D13" s="40">
        <v>13.662000000000001</v>
      </c>
      <c r="E13" s="35">
        <v>958</v>
      </c>
      <c r="F13" s="39">
        <f t="shared" si="0"/>
        <v>0.28055555555555556</v>
      </c>
      <c r="G13" s="35">
        <v>7</v>
      </c>
      <c r="H13" s="35">
        <f t="shared" si="6"/>
        <v>2.7397260273972603E-3</v>
      </c>
      <c r="I13" s="35">
        <v>0.97909999999999997</v>
      </c>
      <c r="J13" s="35">
        <f t="shared" si="1"/>
        <v>-0.4960882056465778</v>
      </c>
      <c r="K13" s="38">
        <f t="shared" si="12"/>
        <v>1.076622411310856E-4</v>
      </c>
      <c r="L13" s="35">
        <f t="shared" si="2"/>
        <v>1.8237737880110849E-4</v>
      </c>
      <c r="M13" s="31">
        <f t="shared" si="7"/>
        <v>-0.29910543030285935</v>
      </c>
      <c r="N13" s="31">
        <f t="shared" si="3"/>
        <v>-0.5903267271348196</v>
      </c>
      <c r="O13" s="31">
        <f t="shared" si="8"/>
        <v>-9519.8368798792526</v>
      </c>
      <c r="P13" s="31">
        <f t="shared" si="9"/>
        <v>9423.4134194673516</v>
      </c>
      <c r="Q13" s="31">
        <f t="shared" si="4"/>
        <v>-96.423460411901033</v>
      </c>
      <c r="S13" s="31">
        <f t="shared" si="10"/>
        <v>28001.411406323292</v>
      </c>
      <c r="T13" s="31">
        <f t="shared" si="11"/>
        <v>-29310.462911999999</v>
      </c>
      <c r="U13" s="31">
        <f t="shared" si="5"/>
        <v>-1309.0515056767072</v>
      </c>
    </row>
    <row r="14" spans="1:21" ht="16">
      <c r="A14" s="37">
        <v>43563</v>
      </c>
      <c r="B14" s="35">
        <v>0.19400000000000001</v>
      </c>
      <c r="C14" s="41">
        <v>30077.15</v>
      </c>
      <c r="D14" s="40">
        <v>13.948</v>
      </c>
      <c r="E14" s="35">
        <v>883</v>
      </c>
      <c r="F14" s="39">
        <f t="shared" si="0"/>
        <v>0.27777777777777779</v>
      </c>
      <c r="G14" s="35">
        <v>8</v>
      </c>
      <c r="H14" s="35">
        <f t="shared" si="6"/>
        <v>1.0958904109589041E-2</v>
      </c>
      <c r="I14" s="35">
        <v>0.98380000000000001</v>
      </c>
      <c r="J14" s="35">
        <f t="shared" si="1"/>
        <v>-0.47007097255477459</v>
      </c>
      <c r="K14" s="38">
        <f t="shared" si="12"/>
        <v>9.9657866505353389E-5</v>
      </c>
      <c r="L14" s="35">
        <f t="shared" si="2"/>
        <v>1.7834377341473061E-4</v>
      </c>
      <c r="M14" s="31">
        <f t="shared" si="7"/>
        <v>-0.26699937811093599</v>
      </c>
      <c r="N14" s="31">
        <f t="shared" si="3"/>
        <v>-0.55879644462609523</v>
      </c>
      <c r="O14" s="31">
        <f t="shared" si="8"/>
        <v>-8524.1916059541818</v>
      </c>
      <c r="P14" s="31">
        <f t="shared" si="9"/>
        <v>8427.3852943822367</v>
      </c>
      <c r="Q14" s="31">
        <f t="shared" si="4"/>
        <v>-96.806311571945116</v>
      </c>
      <c r="S14" s="31">
        <f t="shared" si="10"/>
        <v>28134.235730392113</v>
      </c>
      <c r="T14" s="31">
        <f t="shared" si="11"/>
        <v>-29589.706170000001</v>
      </c>
      <c r="U14" s="31">
        <f t="shared" si="5"/>
        <v>-1455.4704396078887</v>
      </c>
    </row>
    <row r="15" spans="1:21" ht="16">
      <c r="A15" s="37">
        <v>43564</v>
      </c>
      <c r="B15" s="35">
        <v>0.20100000000000001</v>
      </c>
      <c r="C15" s="41">
        <v>30157.49</v>
      </c>
      <c r="D15" s="40">
        <v>13.1</v>
      </c>
      <c r="E15" s="35">
        <v>819</v>
      </c>
      <c r="F15" s="39">
        <f t="shared" si="0"/>
        <v>0.27499999999999997</v>
      </c>
      <c r="G15" s="35">
        <v>9</v>
      </c>
      <c r="H15" s="35">
        <f t="shared" si="6"/>
        <v>2.7397260273972603E-3</v>
      </c>
      <c r="I15" s="35">
        <v>0.98780000000000001</v>
      </c>
      <c r="J15" s="35">
        <f t="shared" si="1"/>
        <v>-0.45461340537678124</v>
      </c>
      <c r="K15" s="38">
        <f t="shared" si="12"/>
        <v>9.2387445110252254E-5</v>
      </c>
      <c r="L15" s="35">
        <f t="shared" si="2"/>
        <v>1.8973119711005105E-4</v>
      </c>
      <c r="M15" s="31">
        <f t="shared" si="7"/>
        <v>-0.22410287408451304</v>
      </c>
      <c r="N15" s="31">
        <f t="shared" si="3"/>
        <v>-0.48693860850234422</v>
      </c>
      <c r="O15" s="31">
        <f t="shared" si="8"/>
        <v>-7157.383904538382</v>
      </c>
      <c r="P15" s="31">
        <f t="shared" si="9"/>
        <v>7074.3154918260952</v>
      </c>
      <c r="Q15" s="31">
        <f t="shared" si="4"/>
        <v>-83.068412712286772</v>
      </c>
      <c r="S15" s="31">
        <f t="shared" si="10"/>
        <v>28252.708077313513</v>
      </c>
      <c r="T15" s="31">
        <f t="shared" si="11"/>
        <v>-29789.367622000002</v>
      </c>
      <c r="U15" s="31">
        <f t="shared" si="5"/>
        <v>-1536.6595446864885</v>
      </c>
    </row>
    <row r="16" spans="1:21" ht="16">
      <c r="A16" s="37">
        <v>43565</v>
      </c>
      <c r="B16" s="35">
        <v>0.20100000000000001</v>
      </c>
      <c r="C16" s="41">
        <v>30119.56</v>
      </c>
      <c r="D16" s="40">
        <v>13.086</v>
      </c>
      <c r="E16" s="35">
        <v>854</v>
      </c>
      <c r="F16" s="39">
        <f t="shared" si="0"/>
        <v>0.2722222222222222</v>
      </c>
      <c r="G16" s="35">
        <v>10</v>
      </c>
      <c r="H16" s="35">
        <f t="shared" si="6"/>
        <v>2.7397260273972603E-3</v>
      </c>
      <c r="I16" s="35">
        <v>0.98780000000000001</v>
      </c>
      <c r="J16" s="35">
        <f t="shared" si="1"/>
        <v>-0.46140605664511353</v>
      </c>
      <c r="K16" s="38">
        <f t="shared" si="12"/>
        <v>9.459390689865667E-5</v>
      </c>
      <c r="L16" s="35">
        <f t="shared" si="2"/>
        <v>1.9146960380049188E-4</v>
      </c>
      <c r="M16" s="31">
        <f t="shared" si="7"/>
        <v>-0.23076906663605307</v>
      </c>
      <c r="N16" s="31">
        <f t="shared" si="3"/>
        <v>-0.49404137795794434</v>
      </c>
      <c r="O16" s="31">
        <f t="shared" si="8"/>
        <v>-7372.7750854646838</v>
      </c>
      <c r="P16" s="31">
        <f t="shared" si="9"/>
        <v>7280.6861637313796</v>
      </c>
      <c r="Q16" s="31">
        <f t="shared" si="4"/>
        <v>-92.088921733304232</v>
      </c>
      <c r="S16" s="31">
        <f t="shared" si="10"/>
        <v>28250.534262380861</v>
      </c>
      <c r="T16" s="31">
        <f t="shared" si="11"/>
        <v>-29751.900368000002</v>
      </c>
      <c r="U16" s="31">
        <f t="shared" si="5"/>
        <v>-1501.3661056191413</v>
      </c>
    </row>
    <row r="17" spans="1:21" ht="16">
      <c r="A17" s="37">
        <v>43566</v>
      </c>
      <c r="B17" s="35">
        <v>0.17299999999999999</v>
      </c>
      <c r="C17" s="41">
        <v>29839.45</v>
      </c>
      <c r="D17" s="40">
        <v>12.983000000000001</v>
      </c>
      <c r="E17" s="35">
        <v>999</v>
      </c>
      <c r="F17" s="39">
        <f t="shared" si="0"/>
        <v>0.26944444444444443</v>
      </c>
      <c r="G17" s="35">
        <v>11</v>
      </c>
      <c r="H17" s="35">
        <f t="shared" si="6"/>
        <v>2.7397260273972603E-3</v>
      </c>
      <c r="I17" s="35">
        <v>0.98329999999999995</v>
      </c>
      <c r="J17" s="35">
        <f t="shared" si="1"/>
        <v>-0.51567652412434106</v>
      </c>
      <c r="K17" s="38">
        <f t="shared" si="12"/>
        <v>1.1301252822166673E-4</v>
      </c>
      <c r="L17" s="35">
        <f t="shared" si="2"/>
        <v>1.9628472146529898E-4</v>
      </c>
      <c r="M17" s="31">
        <f t="shared" si="7"/>
        <v>-0.30194748483378708</v>
      </c>
      <c r="N17" s="31">
        <f t="shared" si="3"/>
        <v>-0.57575815059882862</v>
      </c>
      <c r="O17" s="31">
        <f t="shared" si="8"/>
        <v>-9585.3022687717803</v>
      </c>
      <c r="P17" s="31">
        <f t="shared" si="9"/>
        <v>9485.7547119621686</v>
      </c>
      <c r="Q17" s="31">
        <f t="shared" si="4"/>
        <v>-99.547556809611706</v>
      </c>
      <c r="S17" s="31">
        <f t="shared" si="10"/>
        <v>28114.086424278834</v>
      </c>
      <c r="T17" s="31">
        <f t="shared" si="11"/>
        <v>-29340.958185</v>
      </c>
      <c r="U17" s="31">
        <f t="shared" si="5"/>
        <v>-1226.8717607211656</v>
      </c>
    </row>
    <row r="18" spans="1:21" ht="16">
      <c r="A18" s="37">
        <v>43567</v>
      </c>
      <c r="B18" s="35">
        <v>0.17199999999999999</v>
      </c>
      <c r="C18" s="41">
        <v>29909.759999999998</v>
      </c>
      <c r="D18" s="40">
        <v>12.131</v>
      </c>
      <c r="E18" s="35">
        <v>905</v>
      </c>
      <c r="F18" s="39">
        <f t="shared" si="0"/>
        <v>0.26666666666666666</v>
      </c>
      <c r="G18" s="35">
        <v>12</v>
      </c>
      <c r="H18" s="35">
        <f t="shared" si="6"/>
        <v>2.7397260273972603E-3</v>
      </c>
      <c r="I18" s="35">
        <v>0.9879</v>
      </c>
      <c r="J18" s="35">
        <f t="shared" si="1"/>
        <v>-0.50391336017195021</v>
      </c>
      <c r="K18" s="38">
        <f t="shared" si="12"/>
        <v>1.053581579965987E-4</v>
      </c>
      <c r="L18" s="35">
        <f t="shared" si="2"/>
        <v>2.1091551185431622E-4</v>
      </c>
      <c r="M18" s="31">
        <f t="shared" si="7"/>
        <v>-0.25480182562455278</v>
      </c>
      <c r="N18" s="31">
        <f t="shared" si="3"/>
        <v>-0.49952778280893723</v>
      </c>
      <c r="O18" s="31">
        <f t="shared" si="8"/>
        <v>-8073.3060954343118</v>
      </c>
      <c r="P18" s="31">
        <f t="shared" si="9"/>
        <v>8006.0150478572596</v>
      </c>
      <c r="Q18" s="31">
        <f t="shared" si="4"/>
        <v>-67.291047577052268</v>
      </c>
      <c r="S18" s="31">
        <f t="shared" si="10"/>
        <v>28249.536826539257</v>
      </c>
      <c r="T18" s="31">
        <f t="shared" si="11"/>
        <v>-29547.679904000001</v>
      </c>
      <c r="U18" s="31">
        <f t="shared" si="5"/>
        <v>-1298.1430774607434</v>
      </c>
    </row>
    <row r="19" spans="1:21" ht="16">
      <c r="A19" s="37">
        <v>43570</v>
      </c>
      <c r="B19" s="35">
        <v>0.17299999999999999</v>
      </c>
      <c r="C19" s="41">
        <v>29810.720000000001</v>
      </c>
      <c r="D19" s="40">
        <v>12.987</v>
      </c>
      <c r="E19" s="35">
        <v>971</v>
      </c>
      <c r="F19" s="39">
        <f t="shared" si="0"/>
        <v>0.2638888888888889</v>
      </c>
      <c r="G19" s="35">
        <v>13</v>
      </c>
      <c r="H19" s="35">
        <f t="shared" si="6"/>
        <v>8.21917808219178E-3</v>
      </c>
      <c r="I19" s="35">
        <v>0.98529999999999995</v>
      </c>
      <c r="J19" s="35">
        <f t="shared" si="1"/>
        <v>-0.52108794571745398</v>
      </c>
      <c r="K19" s="38">
        <f t="shared" si="12"/>
        <v>1.1508162706852335E-4</v>
      </c>
      <c r="L19" s="35">
        <f t="shared" si="2"/>
        <v>1.9835293463651499E-4</v>
      </c>
      <c r="M19" s="31">
        <f t="shared" si="7"/>
        <v>-0.30683853972340708</v>
      </c>
      <c r="N19" s="31">
        <f t="shared" si="3"/>
        <v>-0.58018615796843298</v>
      </c>
      <c r="O19" s="31">
        <f t="shared" si="8"/>
        <v>-9710.6115522907166</v>
      </c>
      <c r="P19" s="31">
        <f t="shared" si="9"/>
        <v>9633.971394190874</v>
      </c>
      <c r="Q19" s="31">
        <f t="shared" si="4"/>
        <v>-76.640158099842665</v>
      </c>
      <c r="S19" s="31">
        <f t="shared" si="10"/>
        <v>28165.575282546568</v>
      </c>
      <c r="T19" s="31">
        <f t="shared" si="11"/>
        <v>-29372.329416</v>
      </c>
      <c r="U19" s="31">
        <f t="shared" si="5"/>
        <v>-1206.7541334534326</v>
      </c>
    </row>
    <row r="20" spans="1:21" ht="16">
      <c r="A20" s="37">
        <v>43571</v>
      </c>
      <c r="B20" s="35">
        <v>0.19900000000000001</v>
      </c>
      <c r="C20" s="41">
        <v>30129.87</v>
      </c>
      <c r="D20" s="40">
        <v>12.003</v>
      </c>
      <c r="E20" s="35">
        <v>801</v>
      </c>
      <c r="F20" s="39">
        <f t="shared" si="0"/>
        <v>0.26111111111111107</v>
      </c>
      <c r="G20" s="35">
        <v>14</v>
      </c>
      <c r="H20" s="35">
        <f t="shared" si="6"/>
        <v>2.7397260273972603E-3</v>
      </c>
      <c r="I20" s="35">
        <v>0.99409999999999998</v>
      </c>
      <c r="J20" s="35">
        <f t="shared" si="1"/>
        <v>-0.45657832681134658</v>
      </c>
      <c r="K20" s="38">
        <f t="shared" si="12"/>
        <v>8.8175200516029537E-5</v>
      </c>
      <c r="L20" s="35">
        <f t="shared" si="2"/>
        <v>2.1289966274312791E-4</v>
      </c>
      <c r="M20" s="31">
        <f t="shared" si="7"/>
        <v>-0.19022022933163876</v>
      </c>
      <c r="N20" s="31">
        <f t="shared" si="3"/>
        <v>-0.41416317611745818</v>
      </c>
      <c r="O20" s="31">
        <f t="shared" si="8"/>
        <v>-6063.2544852025458</v>
      </c>
      <c r="P20" s="31">
        <f t="shared" si="9"/>
        <v>5986.6470359172145</v>
      </c>
      <c r="Q20" s="31">
        <f t="shared" si="4"/>
        <v>-76.607449285331313</v>
      </c>
      <c r="S20" s="31">
        <f t="shared" si="10"/>
        <v>28428.581855807937</v>
      </c>
      <c r="T20" s="31">
        <f t="shared" si="11"/>
        <v>-29951.904766999996</v>
      </c>
      <c r="U20" s="31">
        <f t="shared" si="5"/>
        <v>-1523.3229111920591</v>
      </c>
    </row>
    <row r="21" spans="1:21" ht="16">
      <c r="A21" s="37">
        <v>43572</v>
      </c>
      <c r="B21" s="35">
        <v>0.19900000000000001</v>
      </c>
      <c r="C21" s="41">
        <v>30124.68</v>
      </c>
      <c r="D21" s="40">
        <v>11.378</v>
      </c>
      <c r="E21" s="35">
        <v>778</v>
      </c>
      <c r="F21" s="39">
        <f t="shared" si="0"/>
        <v>0.2583333333333333</v>
      </c>
      <c r="G21" s="35">
        <v>15</v>
      </c>
      <c r="H21" s="35">
        <f t="shared" si="6"/>
        <v>2.7397260273972603E-3</v>
      </c>
      <c r="I21" s="35">
        <v>0.99609999999999999</v>
      </c>
      <c r="J21" s="35">
        <f t="shared" si="1"/>
        <v>-0.45636863141359257</v>
      </c>
      <c r="K21" s="38">
        <f t="shared" si="12"/>
        <v>8.4169317065202489E-5</v>
      </c>
      <c r="L21" s="35">
        <f t="shared" si="2"/>
        <v>2.2584483695328424E-4</v>
      </c>
      <c r="M21" s="31">
        <f t="shared" si="7"/>
        <v>-0.17074833684237495</v>
      </c>
      <c r="N21" s="31">
        <f t="shared" si="3"/>
        <v>-0.37268647891478174</v>
      </c>
      <c r="O21" s="31">
        <f t="shared" si="8"/>
        <v>-5433.8880885044555</v>
      </c>
      <c r="P21" s="31">
        <f t="shared" si="9"/>
        <v>5367.3880891269082</v>
      </c>
      <c r="Q21" s="31">
        <f t="shared" si="4"/>
        <v>-66.499999377547283</v>
      </c>
      <c r="S21" s="31">
        <f t="shared" si="10"/>
        <v>28486.646040256561</v>
      </c>
      <c r="T21" s="31">
        <f t="shared" si="11"/>
        <v>-30006.994748000001</v>
      </c>
      <c r="U21" s="31">
        <f t="shared" si="5"/>
        <v>-1520.3487077434402</v>
      </c>
    </row>
    <row r="22" spans="1:21" ht="16">
      <c r="A22" s="37">
        <v>43573</v>
      </c>
      <c r="B22" s="35">
        <v>0.18</v>
      </c>
      <c r="C22" s="41">
        <v>29963.26</v>
      </c>
      <c r="D22" s="40">
        <v>10.817</v>
      </c>
      <c r="E22" s="35">
        <v>871</v>
      </c>
      <c r="F22" s="39">
        <f t="shared" si="0"/>
        <v>0.25555555555555554</v>
      </c>
      <c r="G22" s="35">
        <v>16</v>
      </c>
      <c r="H22" s="35">
        <f t="shared" si="6"/>
        <v>2.7397260273972603E-3</v>
      </c>
      <c r="I22" s="35">
        <v>0.99639999999999995</v>
      </c>
      <c r="J22" s="35">
        <f t="shared" si="1"/>
        <v>-0.49369573183153737</v>
      </c>
      <c r="K22" s="38">
        <f t="shared" si="12"/>
        <v>9.2510103160691774E-5</v>
      </c>
      <c r="L22" s="35">
        <f t="shared" si="2"/>
        <v>2.4133835846293326E-4</v>
      </c>
      <c r="M22" s="31">
        <f t="shared" si="7"/>
        <v>-0.1899277680282791</v>
      </c>
      <c r="N22" s="31">
        <f t="shared" si="3"/>
        <v>-0.38332117509161001</v>
      </c>
      <c r="O22" s="31">
        <f t="shared" si="8"/>
        <v>-6024.9078381558065</v>
      </c>
      <c r="P22" s="31">
        <f t="shared" si="9"/>
        <v>5950.9650962609394</v>
      </c>
      <c r="Q22" s="31">
        <f t="shared" si="4"/>
        <v>-73.94274189486714</v>
      </c>
      <c r="S22" s="31">
        <f t="shared" si="10"/>
        <v>28493.445956516334</v>
      </c>
      <c r="T22" s="31">
        <f t="shared" si="11"/>
        <v>-29855.212263999998</v>
      </c>
      <c r="U22" s="31">
        <f t="shared" si="5"/>
        <v>-1361.7663074836637</v>
      </c>
    </row>
    <row r="23" spans="1:21" ht="16">
      <c r="A23" s="37">
        <v>43578</v>
      </c>
      <c r="B23" s="35">
        <v>0.17699999999999999</v>
      </c>
      <c r="C23" s="41">
        <v>29963.24</v>
      </c>
      <c r="D23" s="40">
        <v>11.505000000000001</v>
      </c>
      <c r="E23" s="35">
        <v>834</v>
      </c>
      <c r="F23" s="39">
        <f t="shared" si="0"/>
        <v>0.25277777777777777</v>
      </c>
      <c r="G23" s="35">
        <v>17</v>
      </c>
      <c r="H23" s="35">
        <f t="shared" si="6"/>
        <v>1.3698630136986301E-2</v>
      </c>
      <c r="I23" s="35">
        <v>0.99729999999999996</v>
      </c>
      <c r="J23" s="35">
        <f t="shared" si="1"/>
        <v>-0.49213826194321614</v>
      </c>
      <c r="K23" s="38">
        <f t="shared" si="12"/>
        <v>9.7109851360312023E-5</v>
      </c>
      <c r="L23" s="35">
        <f t="shared" si="2"/>
        <v>2.2816538170271307E-4</v>
      </c>
      <c r="M23" s="31">
        <f t="shared" si="7"/>
        <v>-0.21002686485495153</v>
      </c>
      <c r="N23" s="31">
        <f t="shared" si="3"/>
        <v>-0.42561167971940989</v>
      </c>
      <c r="O23" s="31">
        <f t="shared" si="8"/>
        <v>-6648.2224989824663</v>
      </c>
      <c r="P23" s="31">
        <f t="shared" si="9"/>
        <v>6586.4562983795149</v>
      </c>
      <c r="Q23" s="31">
        <f t="shared" si="4"/>
        <v>-61.766200602951358</v>
      </c>
      <c r="S23" s="31">
        <f t="shared" si="10"/>
        <v>28509.537767037444</v>
      </c>
      <c r="T23" s="31">
        <f t="shared" si="11"/>
        <v>-29882.162252000002</v>
      </c>
      <c r="U23" s="31">
        <f t="shared" si="5"/>
        <v>-1372.6244849625582</v>
      </c>
    </row>
    <row r="24" spans="1:21" ht="16">
      <c r="A24" s="37">
        <v>43579</v>
      </c>
      <c r="B24" s="35">
        <v>0.16400000000000001</v>
      </c>
      <c r="C24" s="41">
        <v>29805.83</v>
      </c>
      <c r="D24" s="40">
        <v>11.292999999999999</v>
      </c>
      <c r="E24" s="35">
        <v>922</v>
      </c>
      <c r="F24" s="39">
        <f t="shared" si="0"/>
        <v>0.25</v>
      </c>
      <c r="G24" s="35">
        <v>18</v>
      </c>
      <c r="H24" s="35">
        <f t="shared" si="6"/>
        <v>2.7397260273972603E-3</v>
      </c>
      <c r="I24" s="35">
        <v>0.99629999999999996</v>
      </c>
      <c r="J24" s="35">
        <f t="shared" si="1"/>
        <v>-0.5289970189394142</v>
      </c>
      <c r="K24" s="38">
        <f t="shared" si="12"/>
        <v>1.0913081103017617E-4</v>
      </c>
      <c r="L24" s="35">
        <f t="shared" si="2"/>
        <v>2.3416908534322722E-4</v>
      </c>
      <c r="M24" s="31">
        <f t="shared" si="7"/>
        <v>-0.24744627333800404</v>
      </c>
      <c r="N24" s="31">
        <f t="shared" si="3"/>
        <v>-0.46603423705661462</v>
      </c>
      <c r="O24" s="31">
        <f t="shared" si="8"/>
        <v>-7805.1891238122789</v>
      </c>
      <c r="P24" s="31">
        <f t="shared" si="9"/>
        <v>7738.5974263703192</v>
      </c>
      <c r="Q24" s="31">
        <f t="shared" si="4"/>
        <v>-66.591697441959695</v>
      </c>
      <c r="S24" s="31">
        <f t="shared" si="10"/>
        <v>28477.555238209658</v>
      </c>
      <c r="T24" s="31">
        <f t="shared" si="11"/>
        <v>-29695.384429000002</v>
      </c>
      <c r="U24" s="31">
        <f t="shared" si="5"/>
        <v>-1217.829190790344</v>
      </c>
    </row>
    <row r="25" spans="1:21" ht="16">
      <c r="A25" s="37">
        <v>43580</v>
      </c>
      <c r="B25" s="35">
        <v>0.14199999999999999</v>
      </c>
      <c r="C25" s="41">
        <v>29549.8</v>
      </c>
      <c r="D25" s="40">
        <v>10.254</v>
      </c>
      <c r="E25" s="36">
        <v>1043</v>
      </c>
      <c r="F25" s="39">
        <f t="shared" si="0"/>
        <v>0.2472222222222222</v>
      </c>
      <c r="G25" s="35">
        <v>19</v>
      </c>
      <c r="H25" s="35">
        <f t="shared" si="6"/>
        <v>2.7397260273972603E-3</v>
      </c>
      <c r="I25" s="35">
        <v>0.99570000000000003</v>
      </c>
      <c r="J25" s="35">
        <f t="shared" si="1"/>
        <v>-0.60008100379126539</v>
      </c>
      <c r="K25" s="38">
        <f t="shared" si="12"/>
        <v>1.2887891026515936E-4</v>
      </c>
      <c r="L25" s="35">
        <f t="shared" si="2"/>
        <v>2.533565774396427E-4</v>
      </c>
      <c r="M25" s="31">
        <f t="shared" si="7"/>
        <v>-0.3065709809257452</v>
      </c>
      <c r="N25" s="31">
        <f t="shared" si="3"/>
        <v>-0.50868586703995189</v>
      </c>
      <c r="O25" s="31">
        <f t="shared" si="8"/>
        <v>-9589.8125314822537</v>
      </c>
      <c r="P25" s="31">
        <f t="shared" si="9"/>
        <v>9529.6852814122212</v>
      </c>
      <c r="Q25" s="31">
        <f t="shared" si="4"/>
        <v>-60.12725007003246</v>
      </c>
      <c r="S25" s="31">
        <f t="shared" si="10"/>
        <v>28457.665630922911</v>
      </c>
      <c r="T25" s="31">
        <f t="shared" si="11"/>
        <v>-29422.593860000001</v>
      </c>
      <c r="U25" s="31">
        <f t="shared" si="5"/>
        <v>-964.92822907708978</v>
      </c>
    </row>
    <row r="26" spans="1:21" ht="16">
      <c r="A26" s="37">
        <v>43581</v>
      </c>
      <c r="B26" s="35">
        <v>0.14799999999999999</v>
      </c>
      <c r="C26" s="41">
        <v>29605.01</v>
      </c>
      <c r="D26" s="40">
        <v>6.9619999999999997</v>
      </c>
      <c r="E26" s="35">
        <v>985</v>
      </c>
      <c r="F26" s="39">
        <f t="shared" si="0"/>
        <v>0.24444444444444444</v>
      </c>
      <c r="G26" s="35">
        <f>20</f>
        <v>20</v>
      </c>
      <c r="H26" s="35">
        <f t="shared" si="6"/>
        <v>2.7397260273972603E-3</v>
      </c>
      <c r="I26" s="35">
        <v>1.0088999999999999</v>
      </c>
      <c r="J26" s="35">
        <f t="shared" si="1"/>
        <v>-0.63502256047474648</v>
      </c>
      <c r="K26" s="38">
        <f t="shared" si="12"/>
        <v>7.3664378751253361E-5</v>
      </c>
      <c r="L26" s="35">
        <f t="shared" si="2"/>
        <v>3.6389178196577114E-4</v>
      </c>
      <c r="M26" s="31">
        <f t="shared" si="7"/>
        <v>-0.1274166890340579</v>
      </c>
      <c r="N26" s="31">
        <f t="shared" si="3"/>
        <v>-0.20243485124427041</v>
      </c>
      <c r="O26" s="31">
        <f t="shared" si="8"/>
        <v>-3971.7186814957809</v>
      </c>
      <c r="P26" s="31">
        <f t="shared" si="9"/>
        <v>3923.5239488818506</v>
      </c>
      <c r="Q26" s="31">
        <f t="shared" si="4"/>
        <v>-48.194732613930228</v>
      </c>
      <c r="S26" s="31">
        <f t="shared" si="10"/>
        <v>28846.317440259932</v>
      </c>
      <c r="T26" s="31">
        <f t="shared" si="11"/>
        <v>-29868.346588999993</v>
      </c>
      <c r="U26" s="31">
        <f t="shared" si="5"/>
        <v>-1022.0291487400609</v>
      </c>
    </row>
    <row r="32" spans="1:21">
      <c r="K32" s="37"/>
      <c r="M32" s="36"/>
    </row>
    <row r="34" spans="11:13">
      <c r="K34" s="37"/>
      <c r="M34" s="36"/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Delta Gamma Vega heage</vt:lpstr>
      <vt:lpstr>Gamma with in the money put</vt:lpstr>
      <vt:lpstr>Gamma with the at the money put</vt:lpstr>
      <vt:lpstr>Comparsion</vt:lpstr>
      <vt:lpstr>Simulate</vt:lpstr>
      <vt:lpstr>down and out call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 Xichen</dc:creator>
  <cp:lastModifiedBy>LIU Xichen</cp:lastModifiedBy>
  <dcterms:created xsi:type="dcterms:W3CDTF">2020-04-23T08:23:52Z</dcterms:created>
  <dcterms:modified xsi:type="dcterms:W3CDTF">2020-05-07T06:47:15Z</dcterms:modified>
</cp:coreProperties>
</file>